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A" sheetId="1" state="visible" r:id="rId3"/>
    <sheet name="Rule mapping" sheetId="2" state="visible" r:id="rId4"/>
    <sheet name="Results" sheetId="3" state="visible" r:id="rId5"/>
  </sheets>
  <definedNames>
    <definedName function="false" hidden="true" localSheetId="1" name="_xlnm._FilterDatabase" vbProcedure="false">'Rule mapping'!$A$3:$I$32</definedName>
    <definedName function="false" hidden="true" localSheetId="0" name="_xlnm._FilterDatabase" vbProcedure="false">SoA!$A$13:$S$106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<sst xmlns="http://schemas.openxmlformats.org/spreadsheetml/2006/main" count="1191" uniqueCount="565">
  <si>
    <t xml:space="preserve">Statement of Applicability: ISO/IEC 27001:2022 Annex A (93 controls)</t>
  </si>
  <si>
    <t xml:space="preserve">Source: results/soa.json and catalog/annex_a.yaml. Framework refs derived via catalog/rules.yaml. Times in CET.</t>
  </si>
  <si>
    <t xml:space="preserve">Summary (live formulas over the table below)</t>
  </si>
  <si>
    <t xml:space="preserve">Total controls</t>
  </si>
  <si>
    <t xml:space="preserve">manual</t>
  </si>
  <si>
    <t xml:space="preserve">partial</t>
  </si>
  <si>
    <t xml:space="preserve">not-applicable</t>
  </si>
  <si>
    <t xml:space="preserve">automated-pass</t>
  </si>
  <si>
    <t xml:space="preserve">automated-fail</t>
  </si>
  <si>
    <t xml:space="preserve">Status sum check</t>
  </si>
  <si>
    <t xml:space="preserve">Controls with an automated check</t>
  </si>
  <si>
    <t xml:space="preserve">Automation coverage</t>
  </si>
  <si>
    <t xml:space="preserve">Control ID</t>
  </si>
  <si>
    <t xml:space="preserve">Theme</t>
  </si>
  <si>
    <t xml:space="preserve">Short title (own words)</t>
  </si>
  <si>
    <t xml:space="preserve">Applicable (Y/N)</t>
  </si>
  <si>
    <t xml:space="preserve">Justification (if not applicable)</t>
  </si>
  <si>
    <t xml:space="preserve">Status</t>
  </si>
  <si>
    <t xml:space="preserve">Automated rules linked</t>
  </si>
  <si>
    <t xml:space="preserve">Passing rules</t>
  </si>
  <si>
    <t xml:space="preserve">Failing rules</t>
  </si>
  <si>
    <t xml:space="preserve">Linked, not observed</t>
  </si>
  <si>
    <t xml:space="preserve">BSI C5:2020 refs</t>
  </si>
  <si>
    <t xml:space="preserve">IT-Grundschutz refs</t>
  </si>
  <si>
    <t xml:space="preserve">DORA refs</t>
  </si>
  <si>
    <t xml:space="preserve">Owner</t>
  </si>
  <si>
    <t xml:space="preserve">Due date</t>
  </si>
  <si>
    <t xml:space="preserve">Residual gap (stays manual)</t>
  </si>
  <si>
    <t xml:space="preserve">Evidence references (evidence IDs)</t>
  </si>
  <si>
    <t xml:space="preserve">Evidence count</t>
  </si>
  <si>
    <t xml:space="preserve">Last observed (CET)</t>
  </si>
  <si>
    <t xml:space="preserve">A.5.1</t>
  </si>
  <si>
    <t xml:space="preserve">organisational</t>
  </si>
  <si>
    <t xml:space="preserve">A written security policy that someone has actually approved</t>
  </si>
  <si>
    <t xml:space="preserve">Y</t>
  </si>
  <si>
    <t xml:space="preserve">ISB</t>
  </si>
  <si>
    <t xml:space="preserve">A.5.2</t>
  </si>
  <si>
    <t xml:space="preserve">Named security roles and who is accountable</t>
  </si>
  <si>
    <t xml:space="preserve">A.5.3</t>
  </si>
  <si>
    <t xml:space="preserve">Splitting duties so one person cannot both act and hide it</t>
  </si>
  <si>
    <t xml:space="preserve">A.5.4</t>
  </si>
  <si>
    <t xml:space="preserve">Managers making their teams follow the security rules</t>
  </si>
  <si>
    <t xml:space="preserve">A.5.5</t>
  </si>
  <si>
    <t xml:space="preserve">How we contact regulators and other authorities</t>
  </si>
  <si>
    <t xml:space="preserve">A.5.6</t>
  </si>
  <si>
    <t xml:space="preserve">Staying in touch with security communities</t>
  </si>
  <si>
    <t xml:space="preserve">A.5.7</t>
  </si>
  <si>
    <t xml:space="preserve">Collecting threat intelligence and using it</t>
  </si>
  <si>
    <t xml:space="preserve">A.5.8</t>
  </si>
  <si>
    <t xml:space="preserve">Security work inside projects, not after them</t>
  </si>
  <si>
    <t xml:space="preserve">A.5.9</t>
  </si>
  <si>
    <t xml:space="preserve">An inventory of information and the assets that hold it</t>
  </si>
  <si>
    <t xml:space="preserve">nordpay.tags.owner</t>
  </si>
  <si>
    <t xml:space="preserve">AM-01</t>
  </si>
  <si>
    <t xml:space="preserve">OPS.2.2</t>
  </si>
  <si>
    <t xml:space="preserve">Art.8</t>
  </si>
  <si>
    <t xml:space="preserve">An owner tag is not an asset inventory. The register itself is still maintained by hand.</t>
  </si>
  <si>
    <t xml:space="preserve">13035212-43e6-56d8-bfdc-482f5d536ccc</t>
  </si>
  <si>
    <t xml:space="preserve">A.5.10</t>
  </si>
  <si>
    <t xml:space="preserve">Rules for acceptable use of information and assets</t>
  </si>
  <si>
    <t xml:space="preserve">A.5.11</t>
  </si>
  <si>
    <t xml:space="preserve">Getting assets back when people leave or change role</t>
  </si>
  <si>
    <t xml:space="preserve">A.5.12</t>
  </si>
  <si>
    <t xml:space="preserve">Classifying information by how sensitive it is</t>
  </si>
  <si>
    <t xml:space="preserve">nordpay.tags.data_classification</t>
  </si>
  <si>
    <t xml:space="preserve">AM-06</t>
  </si>
  <si>
    <t xml:space="preserve">The tag records a classification. The scheme, the labels and the handling rules are still documents.</t>
  </si>
  <si>
    <t xml:space="preserve">c91b5d50-1cea-57c0-93cc-299c84434c89</t>
  </si>
  <si>
    <t xml:space="preserve">A.5.13</t>
  </si>
  <si>
    <t xml:space="preserve">Labelling information so the classification is visible</t>
  </si>
  <si>
    <t xml:space="preserve">A.5.14</t>
  </si>
  <si>
    <t xml:space="preserve">Rules for sending information inside and outside the firm</t>
  </si>
  <si>
    <t xml:space="preserve">A.5.15</t>
  </si>
  <si>
    <t xml:space="preserve">Rules for who may access information and systems</t>
  </si>
  <si>
    <t xml:space="preserve">CKV_AZURE_190, CKV_AZURE_13, nordpay.rbac.no_subscription_owner</t>
  </si>
  <si>
    <t xml:space="preserve">IDM-07, IDM-09, IDM-06</t>
  </si>
  <si>
    <t xml:space="preserve">ORP.4, APP.3.1</t>
  </si>
  <si>
    <t xml:space="preserve">Art.9</t>
  </si>
  <si>
    <t xml:space="preserve">Checks cover anonymous blob access, app authentication and subscription Owner. Joiners, movers, leavers and access reviews are manual.</t>
  </si>
  <si>
    <t xml:space="preserve">a2c0cff1-ae94-5bb1-8746-d6e45aae8b7b
a929a901-557c-54ea-aea2-371638693813
dada1b34-9173-5c37-98cc-58055b8b685c</t>
  </si>
  <si>
    <t xml:space="preserve">A.5.16</t>
  </si>
  <si>
    <t xml:space="preserve">Managing identities through their life</t>
  </si>
  <si>
    <t xml:space="preserve">A.5.17</t>
  </si>
  <si>
    <t xml:space="preserve">Handling passwords, keys and other secrets</t>
  </si>
  <si>
    <t xml:space="preserve">A.5.18</t>
  </si>
  <si>
    <t xml:space="preserve">Granting, changing and removing access</t>
  </si>
  <si>
    <t xml:space="preserve">A.5.19</t>
  </si>
  <si>
    <t xml:space="preserve">Security in supplier relationships</t>
  </si>
  <si>
    <t xml:space="preserve">A.5.20</t>
  </si>
  <si>
    <t xml:space="preserve">Security clauses in supplier contracts</t>
  </si>
  <si>
    <t xml:space="preserve">A.5.21</t>
  </si>
  <si>
    <t xml:space="preserve">Security along the ICT supply chain</t>
  </si>
  <si>
    <t xml:space="preserve">A.5.22</t>
  </si>
  <si>
    <t xml:space="preserve">Reviewing supplier services and changing them when needed</t>
  </si>
  <si>
    <t xml:space="preserve">A.5.23</t>
  </si>
  <si>
    <t xml:space="preserve">Security requirements for the cloud services we use</t>
  </si>
  <si>
    <t xml:space="preserve">nordpay.region.eu_only</t>
  </si>
  <si>
    <t xml:space="preserve">PSS-12</t>
  </si>
  <si>
    <t xml:space="preserve">The region allow-list is the automated part. The cloud exit plan and the supplier review are manual.</t>
  </si>
  <si>
    <t xml:space="preserve">916469ce-848f-52d1-a852-7c9360595d7a</t>
  </si>
  <si>
    <t xml:space="preserve">A.5.24</t>
  </si>
  <si>
    <t xml:space="preserve">Planning how incidents will be handled</t>
  </si>
  <si>
    <t xml:space="preserve">A.5.25</t>
  </si>
  <si>
    <t xml:space="preserve">Deciding whether an event is really an incident</t>
  </si>
  <si>
    <t xml:space="preserve">A.5.26</t>
  </si>
  <si>
    <t xml:space="preserve">Responding when an incident is confirmed</t>
  </si>
  <si>
    <t xml:space="preserve">A.5.27</t>
  </si>
  <si>
    <t xml:space="preserve">Learning from incidents</t>
  </si>
  <si>
    <t xml:space="preserve">A.5.28</t>
  </si>
  <si>
    <t xml:space="preserve">Collecting and keeping evidence of incidents</t>
  </si>
  <si>
    <t xml:space="preserve">CKV_AZURE_37</t>
  </si>
  <si>
    <t xml:space="preserve">OPS-14</t>
  </si>
  <si>
    <t xml:space="preserve">OPS.1.1.5</t>
  </si>
  <si>
    <t xml:space="preserve">Art.10</t>
  </si>
  <si>
    <t xml:space="preserve">Activity-log retention is the automated part. How incident evidence is collected is still a procedure.</t>
  </si>
  <si>
    <t xml:space="preserve">69db2c19-3e61-5e67-a6a5-2f8ffcf9e433</t>
  </si>
  <si>
    <t xml:space="preserve">A.5.29</t>
  </si>
  <si>
    <t xml:space="preserve">Keeping security going during a disruption</t>
  </si>
  <si>
    <t xml:space="preserve">A.5.30</t>
  </si>
  <si>
    <t xml:space="preserve">ICT that is ready for a continuity event</t>
  </si>
  <si>
    <t xml:space="preserve">A.5.31</t>
  </si>
  <si>
    <t xml:space="preserve">Finding the laws and contracts that apply to us</t>
  </si>
  <si>
    <t xml:space="preserve">A.5.32</t>
  </si>
  <si>
    <t xml:space="preserve">Protecting intellectual property</t>
  </si>
  <si>
    <t xml:space="preserve">A.5.33</t>
  </si>
  <si>
    <t xml:space="preserve">Protecting records from loss or tampering</t>
  </si>
  <si>
    <t xml:space="preserve">A.5.34</t>
  </si>
  <si>
    <t xml:space="preserve">Privacy and protection of personal data</t>
  </si>
  <si>
    <t xml:space="preserve">A.5.35</t>
  </si>
  <si>
    <t xml:space="preserve">An independent look at the ISMS</t>
  </si>
  <si>
    <t xml:space="preserve">A.5.36</t>
  </si>
  <si>
    <t xml:space="preserve">Checking that people follow the security rules</t>
  </si>
  <si>
    <t xml:space="preserve">A.5.37</t>
  </si>
  <si>
    <t xml:space="preserve">Written procedures for operating systems</t>
  </si>
  <si>
    <t xml:space="preserve">A.6.1</t>
  </si>
  <si>
    <t xml:space="preserve">people</t>
  </si>
  <si>
    <t xml:space="preserve">Screening people before they start</t>
  </si>
  <si>
    <t xml:space="preserve">People lead</t>
  </si>
  <si>
    <t xml:space="preserve">A.6.2</t>
  </si>
  <si>
    <t xml:space="preserve">Security terms in the employment contract</t>
  </si>
  <si>
    <t xml:space="preserve">A.6.3</t>
  </si>
  <si>
    <t xml:space="preserve">Security awareness and training</t>
  </si>
  <si>
    <t xml:space="preserve">A.6.4</t>
  </si>
  <si>
    <t xml:space="preserve">A disciplinary route for security violations</t>
  </si>
  <si>
    <t xml:space="preserve">A.6.5</t>
  </si>
  <si>
    <t xml:space="preserve">Duties that remain after someone leaves</t>
  </si>
  <si>
    <t xml:space="preserve">A.6.6</t>
  </si>
  <si>
    <t xml:space="preserve">Confidentiality agreements</t>
  </si>
  <si>
    <t xml:space="preserve">A.6.7</t>
  </si>
  <si>
    <t xml:space="preserve">Security of remote working</t>
  </si>
  <si>
    <t xml:space="preserve">A.6.8</t>
  </si>
  <si>
    <t xml:space="preserve">People reporting security events</t>
  </si>
  <si>
    <t xml:space="preserve">A.7.1</t>
  </si>
  <si>
    <t xml:space="preserve">physical</t>
  </si>
  <si>
    <t xml:space="preserve">Physical security boundaries</t>
  </si>
  <si>
    <t xml:space="preserve">Office manager</t>
  </si>
  <si>
    <t xml:space="preserve">A.7.2</t>
  </si>
  <si>
    <t xml:space="preserve">Controlling who can walk in</t>
  </si>
  <si>
    <t xml:space="preserve">A.7.3</t>
  </si>
  <si>
    <t xml:space="preserve">Securing offices and rooms</t>
  </si>
  <si>
    <t xml:space="preserve">A.7.4</t>
  </si>
  <si>
    <t xml:space="preserve">Watching the premises</t>
  </si>
  <si>
    <t xml:space="preserve">A.7.5</t>
  </si>
  <si>
    <t xml:space="preserve">Protection from physical and environmental threats</t>
  </si>
  <si>
    <t xml:space="preserve">A.7.6</t>
  </si>
  <si>
    <t xml:space="preserve">Working inside a secure area</t>
  </si>
  <si>
    <t xml:space="preserve">N</t>
  </si>
  <si>
    <t xml:space="preserve">NordPay has no secure processing room. The Berlin office is an ordinary workplace, and payment data is not handled there as paper. If a secure room is introduced, this decision is revisited.</t>
  </si>
  <si>
    <t xml:space="preserve">A.7.7</t>
  </si>
  <si>
    <t xml:space="preserve">Clear desk and clear screen</t>
  </si>
  <si>
    <t xml:space="preserve">A.7.8</t>
  </si>
  <si>
    <t xml:space="preserve">Where equipment sits and how it is protected</t>
  </si>
  <si>
    <t xml:space="preserve">A.7.9</t>
  </si>
  <si>
    <t xml:space="preserve">Assets taken off the premises</t>
  </si>
  <si>
    <t xml:space="preserve">A.7.10</t>
  </si>
  <si>
    <t xml:space="preserve">Storage media</t>
  </si>
  <si>
    <t xml:space="preserve">A.7.11</t>
  </si>
  <si>
    <t xml:space="preserve">Power and other supporting utilities</t>
  </si>
  <si>
    <t xml:space="preserve">A.7.12</t>
  </si>
  <si>
    <t xml:space="preserve">Protecting cables</t>
  </si>
  <si>
    <t xml:space="preserve">A.7.13</t>
  </si>
  <si>
    <t xml:space="preserve">Maintaining equipment</t>
  </si>
  <si>
    <t xml:space="preserve">A.7.14</t>
  </si>
  <si>
    <t xml:space="preserve">Disposing of equipment or reusing it safely</t>
  </si>
  <si>
    <t xml:space="preserve">A.8.1</t>
  </si>
  <si>
    <t xml:space="preserve">technological</t>
  </si>
  <si>
    <t xml:space="preserve">Security of user devices</t>
  </si>
  <si>
    <t xml:space="preserve">Cloud platform</t>
  </si>
  <si>
    <t xml:space="preserve">A.8.2</t>
  </si>
  <si>
    <t xml:space="preserve">Restricting privileged access</t>
  </si>
  <si>
    <t xml:space="preserve">CKV_AZURE_10, CKV_AZURE_9, CKV_AZURE_39, nordpay.rbac.no_subscription_owner</t>
  </si>
  <si>
    <t xml:space="preserve">CKV_AZURE_10, CKV_AZURE_9, nordpay.rbac.no_subscription_owner</t>
  </si>
  <si>
    <t xml:space="preserve">CKV_AZURE_39</t>
  </si>
  <si>
    <t xml:space="preserve">COS-05, IDM-06</t>
  </si>
  <si>
    <t xml:space="preserve">NET.3.2, ORP.4</t>
  </si>
  <si>
    <t xml:space="preserve">Open management ports, wildcard custom roles and subscription Owner are checked. Privileged-access reviews are manual.</t>
  </si>
  <si>
    <t xml:space="preserve">c9174948-ea70-5a94-9f4a-fad4ec6a20e3
8380f6e8-826e-5c67-afae-283414586eeb
dada1b34-9173-5c37-98cc-58055b8b685c</t>
  </si>
  <si>
    <t xml:space="preserve">A.8.3</t>
  </si>
  <si>
    <t xml:space="preserve">Restricting access to information</t>
  </si>
  <si>
    <t xml:space="preserve">CKV_AZURE_190</t>
  </si>
  <si>
    <t xml:space="preserve">IDM-07</t>
  </si>
  <si>
    <t xml:space="preserve">ORP.4</t>
  </si>
  <si>
    <t xml:space="preserve">Anonymous blob access is checked. Authorisation inside the application is not.</t>
  </si>
  <si>
    <t xml:space="preserve">a2c0cff1-ae94-5bb1-8746-d6e45aae8b7b</t>
  </si>
  <si>
    <t xml:space="preserve">A.8.4</t>
  </si>
  <si>
    <t xml:space="preserve">Restricting access to source code</t>
  </si>
  <si>
    <t xml:space="preserve">A.8.5</t>
  </si>
  <si>
    <t xml:space="preserve">Strong authentication</t>
  </si>
  <si>
    <t xml:space="preserve">CKV_AZURE_13</t>
  </si>
  <si>
    <t xml:space="preserve">IDM-09</t>
  </si>
  <si>
    <t xml:space="preserve">App Service authentication has to be on. Passwords, MFA for people and key rotation are manual.</t>
  </si>
  <si>
    <t xml:space="preserve">a929a901-557c-54ea-aea2-371638693813</t>
  </si>
  <si>
    <t xml:space="preserve">A.8.6</t>
  </si>
  <si>
    <t xml:space="preserve">Capacity management</t>
  </si>
  <si>
    <t xml:space="preserve">A.8.7</t>
  </si>
  <si>
    <t xml:space="preserve">Protection against malware</t>
  </si>
  <si>
    <t xml:space="preserve">A.8.8</t>
  </si>
  <si>
    <t xml:space="preserve">Managing technical vulnerabilities</t>
  </si>
  <si>
    <t xml:space="preserve">A.8.9</t>
  </si>
  <si>
    <t xml:space="preserve">Keeping system configuration under control</t>
  </si>
  <si>
    <t xml:space="preserve">CKV_AZURE_44, CKV_AZURE_15, CKV_AZURE_78, CKV_AZURE_72</t>
  </si>
  <si>
    <t xml:space="preserve">CRY-02, COS-08, COS-05</t>
  </si>
  <si>
    <t xml:space="preserve">CON.1, OPS.1.1.2, APP.3.1</t>
  </si>
  <si>
    <t xml:space="preserve">TLS settings, FTPS and remote debugging are checked. A configuration baseline for everything else is manual.</t>
  </si>
  <si>
    <t xml:space="preserve">89962538-0fce-5e96-bc7e-427795a2e327
47a31363-b643-593b-813a-3ab4f5707c22
d1a8f6ac-3186-56d2-9ade-67fcc9103599
661a84c2-a2b8-5abc-b6b5-d6bc55de1008</t>
  </si>
  <si>
    <t xml:space="preserve">A.8.10</t>
  </si>
  <si>
    <t xml:space="preserve">Deleting information when it is no longer needed</t>
  </si>
  <si>
    <t xml:space="preserve">A.8.11</t>
  </si>
  <si>
    <t xml:space="preserve">Masking data</t>
  </si>
  <si>
    <t xml:space="preserve">A.8.12</t>
  </si>
  <si>
    <t xml:space="preserve">Preventing data from leaking</t>
  </si>
  <si>
    <t xml:space="preserve">A.8.13</t>
  </si>
  <si>
    <t xml:space="preserve">Backups of information</t>
  </si>
  <si>
    <t xml:space="preserve">CKV_AZURE_206, CKV_AZURE_42, CKV_AZURE_111, nordpay.backup.vault_for_prod</t>
  </si>
  <si>
    <t xml:space="preserve">OPS-06, CRY-04</t>
  </si>
  <si>
    <t xml:space="preserve">CON.3, CON.1</t>
  </si>
  <si>
    <t xml:space="preserve">Art.12</t>
  </si>
  <si>
    <t xml:space="preserve">Geo-redundant storage, Key Vault recovery and a backup vault resource are checked. Restore tests are manual.</t>
  </si>
  <si>
    <t xml:space="preserve">8d0aeb5f-0b55-5308-9360-b3ddc9b95bbe
60b27590-2390-51db-8914-26df0f4b17b1
ad1b33fb-12c4-5d37-ad8f-33b2c4254387
85c60a1e-7389-5d4e-8678-f8b177771174</t>
  </si>
  <si>
    <t xml:space="preserve">A.8.14</t>
  </si>
  <si>
    <t xml:space="preserve">Redundancy of processing</t>
  </si>
  <si>
    <t xml:space="preserve">CKV_AZURE_206</t>
  </si>
  <si>
    <t xml:space="preserve">OPS-06</t>
  </si>
  <si>
    <t xml:space="preserve">CON.3</t>
  </si>
  <si>
    <t xml:space="preserve">Geo-redundant storage is the only automated signal. There is no failover test.</t>
  </si>
  <si>
    <t xml:space="preserve">8d0aeb5f-0b55-5308-9360-b3ddc9b95bbe</t>
  </si>
  <si>
    <t xml:space="preserve">A.8.15</t>
  </si>
  <si>
    <t xml:space="preserve">Producing security logs</t>
  </si>
  <si>
    <t xml:space="preserve">CKV_AZURE_33, CKV_AZURE_63, CKV_AZURE_37, nordpay.diagnostics.required, nordpay.logging.retention</t>
  </si>
  <si>
    <t xml:space="preserve">OPS-10, OPS-14</t>
  </si>
  <si>
    <t xml:space="preserve">OPS.1.1.5, APP.3.1, DER.1</t>
  </si>
  <si>
    <t xml:space="preserve">Queue logs, HTTP logs, diagnostic settings and retention are checked. Someone still has to read the logs.</t>
  </si>
  <si>
    <t xml:space="preserve">7477fc90-2b42-5255-84c1-8cfa6149b551
877a8db3-d234-539d-bda4-cc8fb06d0491
69db2c19-3e61-5e67-a6a5-2f8ffcf9e433
c72d6e9f-79b0-5943-b2ca-b7746cad7a25
85db93a9-1d03-57dc-a2d5-998d8dbc2bc4</t>
  </si>
  <si>
    <t xml:space="preserve">A.8.16</t>
  </si>
  <si>
    <t xml:space="preserve">Watching systems for anomalies</t>
  </si>
  <si>
    <t xml:space="preserve">nordpay.diagnostics.required</t>
  </si>
  <si>
    <t xml:space="preserve">OPS-10</t>
  </si>
  <si>
    <t xml:space="preserve">OPS.1.1.5, DER.1</t>
  </si>
  <si>
    <t xml:space="preserve">A diagnostic setting is not a monitoring process. Alerts and on-call stay manual.</t>
  </si>
  <si>
    <t xml:space="preserve">c72d6e9f-79b0-5943-b2ca-b7746cad7a25</t>
  </si>
  <si>
    <t xml:space="preserve">A.8.17</t>
  </si>
  <si>
    <t xml:space="preserve">Keeping clocks in sync</t>
  </si>
  <si>
    <t xml:space="preserve">A.8.18</t>
  </si>
  <si>
    <t xml:space="preserve">Controlling privileged utility programs</t>
  </si>
  <si>
    <t xml:space="preserve">A.8.19</t>
  </si>
  <si>
    <t xml:space="preserve">Installing software on production systems</t>
  </si>
  <si>
    <t xml:space="preserve">A.8.20</t>
  </si>
  <si>
    <t xml:space="preserve">Network security</t>
  </si>
  <si>
    <t xml:space="preserve">CKV_AZURE_35, CKV_AZURE_36, CKV_AZURE_189, CKV_AZURE_10, CKV_AZURE_9, CKV_AZURE_78</t>
  </si>
  <si>
    <t xml:space="preserve">COS-01, COS-02, COS-05, IDM-06, COS-08</t>
  </si>
  <si>
    <t xml:space="preserve">NET.1.1, NET.3.2, ORP.4, OPS.1.1.2, APP.3.1</t>
  </si>
  <si>
    <t xml:space="preserve">Default-deny, admin ports, Key Vault exposure and FTPS are checked. The network diagram and rule reviews are manual.</t>
  </si>
  <si>
    <t xml:space="preserve">6b68f2fb-0f2a-598c-b962-26ccf9e6e84d
30b053ac-1380-58e7-96f9-6e2848301e98
ca17ea6c-2036-5610-ba3d-bcba3601f146
c9174948-ea70-5a94-9f4a-fad4ec6a20e3
8380f6e8-826e-5c67-afae-283414586eeb
d1a8f6ac-3186-56d2-9ade-67fcc9103599</t>
  </si>
  <si>
    <t xml:space="preserve">A.8.21</t>
  </si>
  <si>
    <t xml:space="preserve">Security of network services</t>
  </si>
  <si>
    <t xml:space="preserve">A.8.22</t>
  </si>
  <si>
    <t xml:space="preserve">Separating networks</t>
  </si>
  <si>
    <t xml:space="preserve">A.8.23</t>
  </si>
  <si>
    <t xml:space="preserve">Filtering web access</t>
  </si>
  <si>
    <t xml:space="preserve">A.8.24</t>
  </si>
  <si>
    <t xml:space="preserve">Cryptography for data and for keys</t>
  </si>
  <si>
    <t xml:space="preserve">CKV_AZURE_3, CKV_AZURE_44, CKV_AZURE_110, CKV_AZURE_14, CKV_AZURE_15, nordpay.keyvault.purge_protection_confidential</t>
  </si>
  <si>
    <t xml:space="preserve">CRY-02, CRY-04</t>
  </si>
  <si>
    <t xml:space="preserve">TLS, HTTPS and purge protection are checked. Algorithm choice and the key ceremony are manual.</t>
  </si>
  <si>
    <t xml:space="preserve">7d2008e1-5abc-53b3-898d-56ddb0c13a24
89962538-0fce-5e96-bc7e-427795a2e327
63805687-7421-5477-9a20-79e941155704
8ef49ae6-6767-5e73-8c51-5d04824c4f83
47a31363-b643-593b-813a-3ab4f5707c22
c9b62223-56b5-5dfd-9221-9fca79aeed82</t>
  </si>
  <si>
    <t xml:space="preserve">A.8.25</t>
  </si>
  <si>
    <t xml:space="preserve">A secure development lifecycle</t>
  </si>
  <si>
    <t xml:space="preserve">A.8.26</t>
  </si>
  <si>
    <t xml:space="preserve">Security requirements for applications</t>
  </si>
  <si>
    <t xml:space="preserve">A.8.27</t>
  </si>
  <si>
    <t xml:space="preserve">Secure architecture principles</t>
  </si>
  <si>
    <t xml:space="preserve">A.8.28</t>
  </si>
  <si>
    <t xml:space="preserve">Secure coding</t>
  </si>
  <si>
    <t xml:space="preserve">A.8.29</t>
  </si>
  <si>
    <t xml:space="preserve">Security testing before release</t>
  </si>
  <si>
    <t xml:space="preserve">A.8.30</t>
  </si>
  <si>
    <t xml:space="preserve">Development that is done by a supplier</t>
  </si>
  <si>
    <t xml:space="preserve">NordPay does not outsource software development. Employees build the product. If a development supplier is contracted, this control becomes applicable.</t>
  </si>
  <si>
    <t xml:space="preserve">A.8.31</t>
  </si>
  <si>
    <t xml:space="preserve">Separating development, test and production</t>
  </si>
  <si>
    <t xml:space="preserve">A.8.32</t>
  </si>
  <si>
    <t xml:space="preserve">Change management</t>
  </si>
  <si>
    <t xml:space="preserve">A.8.33</t>
  </si>
  <si>
    <t xml:space="preserve">Protecting test data</t>
  </si>
  <si>
    <t xml:space="preserve">A.8.34</t>
  </si>
  <si>
    <t xml:space="preserve">Protecting systems while they are being audited</t>
  </si>
  <si>
    <t xml:space="preserve">Technical rules mapped to Annex A, BSI C5:2020, IT-Grundschutz, DORA and NIS2 (29 rules)</t>
  </si>
  <si>
    <t xml:space="preserve">Source: catalog/rules.yaml.</t>
  </si>
  <si>
    <t xml:space="preserve">Rule ID</t>
  </si>
  <si>
    <t xml:space="preserve">Scanner</t>
  </si>
  <si>
    <t xml:space="preserve">Rule title (own words)</t>
  </si>
  <si>
    <t xml:space="preserve">Annex A controls</t>
  </si>
  <si>
    <t xml:space="preserve">Annex A count</t>
  </si>
  <si>
    <t xml:space="preserve">BSI C5:2020</t>
  </si>
  <si>
    <t xml:space="preserve">IT-Grundschutz</t>
  </si>
  <si>
    <t xml:space="preserve">DORA</t>
  </si>
  <si>
    <t xml:space="preserve">NIS2 tag</t>
  </si>
  <si>
    <t xml:space="preserve">CKV_AZURE_3</t>
  </si>
  <si>
    <t xml:space="preserve">checkov</t>
  </si>
  <si>
    <t xml:space="preserve">Storage accepts HTTPS only</t>
  </si>
  <si>
    <t xml:space="preserve">CRY-02</t>
  </si>
  <si>
    <t xml:space="preserve">CON.1</t>
  </si>
  <si>
    <t xml:space="preserve">BSIG-30</t>
  </si>
  <si>
    <t xml:space="preserve">CKV_AZURE_44</t>
  </si>
  <si>
    <t xml:space="preserve">Storage refuses TLS older than 1.2</t>
  </si>
  <si>
    <t xml:space="preserve">A.8.24, A.8.9</t>
  </si>
  <si>
    <t xml:space="preserve">CON.1, OPS.1.1.2</t>
  </si>
  <si>
    <t xml:space="preserve">Storage does not allow anonymous blob access</t>
  </si>
  <si>
    <t xml:space="preserve">A.5.15, A.8.3</t>
  </si>
  <si>
    <t xml:space="preserve">CKV_AZURE_35</t>
  </si>
  <si>
    <t xml:space="preserve">Storage network default is deny</t>
  </si>
  <si>
    <t xml:space="preserve">COS-01</t>
  </si>
  <si>
    <t xml:space="preserve">NET.1.1, NET.3.2</t>
  </si>
  <si>
    <t xml:space="preserve">CKV_AZURE_36</t>
  </si>
  <si>
    <t xml:space="preserve">Locked-down storage still allows trusted Azure services</t>
  </si>
  <si>
    <t xml:space="preserve">COS-02</t>
  </si>
  <si>
    <t xml:space="preserve">NET.3.2</t>
  </si>
  <si>
    <t xml:space="preserve">Storage replication is geo-redundant</t>
  </si>
  <si>
    <t xml:space="preserve">A.8.13, A.8.14</t>
  </si>
  <si>
    <t xml:space="preserve">CKV_AZURE_33</t>
  </si>
  <si>
    <t xml:space="preserve">Storage queue requests are logged</t>
  </si>
  <si>
    <t xml:space="preserve">CKV_AZURE_110</t>
  </si>
  <si>
    <t xml:space="preserve">Key Vault purge protection is on</t>
  </si>
  <si>
    <t xml:space="preserve">CRY-04</t>
  </si>
  <si>
    <t xml:space="preserve">CKV_AZURE_42</t>
  </si>
  <si>
    <t xml:space="preserve">Key Vault can be recovered</t>
  </si>
  <si>
    <t xml:space="preserve">CON.1, CON.3</t>
  </si>
  <si>
    <t xml:space="preserve">CKV_AZURE_111</t>
  </si>
  <si>
    <t xml:space="preserve">Key Vault soft delete is not switched off</t>
  </si>
  <si>
    <t xml:space="preserve">CKV_AZURE_189</t>
  </si>
  <si>
    <t xml:space="preserve">Key Vault is not open to the public network</t>
  </si>
  <si>
    <t xml:space="preserve">CKV_AZURE_10</t>
  </si>
  <si>
    <t xml:space="preserve">SSH from the internet is not allowed</t>
  </si>
  <si>
    <t xml:space="preserve">A.8.2, A.8.20</t>
  </si>
  <si>
    <t xml:space="preserve">CKV_AZURE_9</t>
  </si>
  <si>
    <t xml:space="preserve">RDP from the internet is not allowed</t>
  </si>
  <si>
    <t xml:space="preserve">CKV_AZURE_14</t>
  </si>
  <si>
    <t xml:space="preserve">The web app redirects HTTP to HTTPS</t>
  </si>
  <si>
    <t xml:space="preserve">CON.1, APP.3.1</t>
  </si>
  <si>
    <t xml:space="preserve">CKV_AZURE_15</t>
  </si>
  <si>
    <t xml:space="preserve">The web app refuses TLS older than 1.2</t>
  </si>
  <si>
    <t xml:space="preserve">A.8.9, A.8.24</t>
  </si>
  <si>
    <t xml:space="preserve">CKV_AZURE_78</t>
  </si>
  <si>
    <t xml:space="preserve">FTP deployment on the web app is disabled</t>
  </si>
  <si>
    <t xml:space="preserve">A.8.9, A.8.20</t>
  </si>
  <si>
    <t xml:space="preserve">COS-08</t>
  </si>
  <si>
    <t xml:space="preserve">OPS.1.1.2, APP.3.1</t>
  </si>
  <si>
    <t xml:space="preserve">The web app has authentication switched on</t>
  </si>
  <si>
    <t xml:space="preserve">A.5.15, A.8.5</t>
  </si>
  <si>
    <t xml:space="preserve">CKV_AZURE_63</t>
  </si>
  <si>
    <t xml:space="preserve">The web app writes HTTP logs</t>
  </si>
  <si>
    <t xml:space="preserve">OPS.1.1.5, APP.3.1</t>
  </si>
  <si>
    <t xml:space="preserve">CKV_AZURE_72</t>
  </si>
  <si>
    <t xml:space="preserve">Remote debugging on the web app is off</t>
  </si>
  <si>
    <t xml:space="preserve">COS-05</t>
  </si>
  <si>
    <t xml:space="preserve">No custom role is a wildcard Owner</t>
  </si>
  <si>
    <t xml:space="preserve">IDM-06</t>
  </si>
  <si>
    <t xml:space="preserve">Activity log retention is at least 365 days</t>
  </si>
  <si>
    <t xml:space="preserve">A.5.28, A.8.15</t>
  </si>
  <si>
    <t xml:space="preserve">conftest</t>
  </si>
  <si>
    <t xml:space="preserve">Resources carry a data-classification tag</t>
  </si>
  <si>
    <t xml:space="preserve">Resources carry an owner tag</t>
  </si>
  <si>
    <t xml:space="preserve">Resources stay in the EU region allow-list</t>
  </si>
  <si>
    <t xml:space="preserve">nordpay.keyvault.purge_protection_confidential</t>
  </si>
  <si>
    <t xml:space="preserve">Confidential Key Vaults cannot be purged</t>
  </si>
  <si>
    <t xml:space="preserve">nordpay.rbac.no_subscription_owner</t>
  </si>
  <si>
    <t xml:space="preserve">No standing Owner on the subscription</t>
  </si>
  <si>
    <t xml:space="preserve">A.5.15, A.8.2</t>
  </si>
  <si>
    <t xml:space="preserve">Prod data resources have a diagnostic setting</t>
  </si>
  <si>
    <t xml:space="preserve">A.8.15, A.8.16</t>
  </si>
  <si>
    <t xml:space="preserve">nordpay.backup.vault_for_prod</t>
  </si>
  <si>
    <t xml:space="preserve">A prod module contains a Recovery Services vault</t>
  </si>
  <si>
    <t xml:space="preserve">nordpay.logging.retention</t>
  </si>
  <si>
    <t xml:space="preserve">Log Analytics keeps at least 90 days</t>
  </si>
  <si>
    <t xml:space="preserve">BSI C5:2020 criteria referenced (15 of 121 in the catalogue)</t>
  </si>
  <si>
    <t xml:space="preserve">ID</t>
  </si>
  <si>
    <t xml:space="preserve">Short gloss (own words)</t>
  </si>
  <si>
    <t xml:space="preserve">Knowing which assets you have</t>
  </si>
  <si>
    <t xml:space="preserve">Classifying assets and making that visible</t>
  </si>
  <si>
    <t xml:space="preserve">Technical safeguards on the network</t>
  </si>
  <si>
    <t xml:space="preserve">Security requirements for connections</t>
  </si>
  <si>
    <t xml:space="preserve">Administration traffic kept apart</t>
  </si>
  <si>
    <t xml:space="preserve">Rules for transmitting data</t>
  </si>
  <si>
    <t xml:space="preserve">Encrypting data while it moves</t>
  </si>
  <si>
    <t xml:space="preserve">Keys that cannot be quietly destroyed</t>
  </si>
  <si>
    <t xml:space="preserve">Privileged access</t>
  </si>
  <si>
    <t xml:space="preserve">Access to customer data</t>
  </si>
  <si>
    <t xml:space="preserve">How users and apps authenticate</t>
  </si>
  <si>
    <t xml:space="preserve">Backup and recovery concept</t>
  </si>
  <si>
    <t xml:space="preserve">What gets logged</t>
  </si>
  <si>
    <t xml:space="preserve">Keeping the logs</t>
  </si>
  <si>
    <t xml:space="preserve">Where data is processed and stored</t>
  </si>
  <si>
    <t xml:space="preserve">IT-Grundschutz modules referenced</t>
  </si>
  <si>
    <t xml:space="preserve">APP.3.1</t>
  </si>
  <si>
    <t xml:space="preserve">Web applications</t>
  </si>
  <si>
    <t xml:space="preserve">Cryptographic concept</t>
  </si>
  <si>
    <t xml:space="preserve">Backup concept</t>
  </si>
  <si>
    <t xml:space="preserve">DER.1</t>
  </si>
  <si>
    <t xml:space="preserve">Detecting security events</t>
  </si>
  <si>
    <t xml:space="preserve">NET.1.1</t>
  </si>
  <si>
    <t xml:space="preserve">Network architecture</t>
  </si>
  <si>
    <t xml:space="preserve">Firewall</t>
  </si>
  <si>
    <t xml:space="preserve">OPS.1.1.2</t>
  </si>
  <si>
    <t xml:space="preserve">Orderly IT administration</t>
  </si>
  <si>
    <t xml:space="preserve">Logging</t>
  </si>
  <si>
    <t xml:space="preserve">Using cloud services</t>
  </si>
  <si>
    <t xml:space="preserve">Identity and access</t>
  </si>
  <si>
    <t xml:space="preserve">DORA articles tracked</t>
  </si>
  <si>
    <t xml:space="preserve">Topic (own words)</t>
  </si>
  <si>
    <t xml:space="preserve">Automated check mapped</t>
  </si>
  <si>
    <t xml:space="preserve">Art.5</t>
  </si>
  <si>
    <t xml:space="preserve">The management body stays responsible for ICT risk</t>
  </si>
  <si>
    <t xml:space="preserve">no</t>
  </si>
  <si>
    <t xml:space="preserve">Art.6</t>
  </si>
  <si>
    <t xml:space="preserve">The ICT risk-management framework</t>
  </si>
  <si>
    <t xml:space="preserve">Identify the ICT assets and dependencies that matter</t>
  </si>
  <si>
    <t xml:space="preserve">yes</t>
  </si>
  <si>
    <t xml:space="preserve">Protect systems and prevent incidents</t>
  </si>
  <si>
    <t xml:space="preserve">Detect anomalous activity</t>
  </si>
  <si>
    <t xml:space="preserve">Art.11</t>
  </si>
  <si>
    <t xml:space="preserve">Respond and recover</t>
  </si>
  <si>
    <t xml:space="preserve">Back up and restore</t>
  </si>
  <si>
    <t xml:space="preserve">Art.13</t>
  </si>
  <si>
    <t xml:space="preserve">Learn from incidents and adjust</t>
  </si>
  <si>
    <t xml:space="preserve">C5 total source</t>
  </si>
  <si>
    <t xml:space="preserve">https://www.bsi.bund.de/EN/Themen/Unternehmen-und-Organisationen/Informationen-und-Empfehlungen/Empfehlungen-nach-Angriffszielen/Cloud-Computing/Kriterienkatalog-C5/C5_Einfuehrung/C5_Einfuehrung.html</t>
  </si>
  <si>
    <t xml:space="preserve">Pipeline results: coverage, detection scores, drift</t>
  </si>
  <si>
    <t xml:space="preserve">Run 2026-10-27 13:19 CET. Typed values are inputs from the named source; rates and totals are formulas.</t>
  </si>
  <si>
    <t xml:space="preserve">Coverage</t>
  </si>
  <si>
    <t xml:space="preserve">Metric</t>
  </si>
  <si>
    <t xml:space="preserve">Value</t>
  </si>
  <si>
    <t xml:space="preserve">Source (file → key)</t>
  </si>
  <si>
    <t xml:space="preserve">Note</t>
  </si>
  <si>
    <t xml:space="preserve">Annex A controls with an automated check</t>
  </si>
  <si>
    <t xml:space="preserve">summary.json → annex_a.with_automated_check</t>
  </si>
  <si>
    <t xml:space="preserve">Annex A controls total</t>
  </si>
  <si>
    <t xml:space="preserve">summary.json → annex_a.total</t>
  </si>
  <si>
    <t xml:space="preserve">Annex A automation coverage</t>
  </si>
  <si>
    <t xml:space="preserve">formula</t>
  </si>
  <si>
    <t xml:space="preserve">summary.json reports 16.1%</t>
  </si>
  <si>
    <t xml:space="preserve">Annex A coverage, live from SoA tab</t>
  </si>
  <si>
    <t xml:space="preserve">formula (SoA tab)</t>
  </si>
  <si>
    <t xml:space="preserve">C5:2020 criteria with an automated check</t>
  </si>
  <si>
    <t xml:space="preserve">summary.json → c5.with_automated_check</t>
  </si>
  <si>
    <t xml:space="preserve">C5:2020 criteria in catalogue</t>
  </si>
  <si>
    <t xml:space="preserve">summary.json → c5.criteria_in_catalogue_2020</t>
  </si>
  <si>
    <t xml:space="preserve">C5:2020 coverage</t>
  </si>
  <si>
    <t xml:space="preserve">summary.json reports 12.4%</t>
  </si>
  <si>
    <t xml:space="preserve">DORA tracked articles with an automated check</t>
  </si>
  <si>
    <t xml:space="preserve">summary.json → dora.with_automated_check</t>
  </si>
  <si>
    <t xml:space="preserve">Art.8, Art.9, Art.10, Art.12</t>
  </si>
  <si>
    <t xml:space="preserve">DORA tracked articles</t>
  </si>
  <si>
    <t xml:space="preserve">summary.json → dora.tracked</t>
  </si>
  <si>
    <t xml:space="preserve">Art.5, Art.6, Art.8, Art.9, Art.10, Art.11, Art.12, Art.13</t>
  </si>
  <si>
    <t xml:space="preserve">DORA coverage (tracked slice)</t>
  </si>
  <si>
    <t xml:space="preserve">summary.json reports 50.0%</t>
  </si>
  <si>
    <t xml:space="preserve">APP.3.1, CON.1, CON.3, DER.1, NET.1.1, NET.3.2, OPS.1.1.2, OPS.1.1.5, OPS.2.2, ORP.4</t>
  </si>
  <si>
    <t xml:space="preserve">summary.json → grundschutz</t>
  </si>
  <si>
    <t xml:space="preserve">No percentage of the full IT-Grundschutz compendium. The list is only the modules a rule in this catalogue points at.</t>
  </si>
  <si>
    <t xml:space="preserve">Landing-zone check failures</t>
  </si>
  <si>
    <t xml:space="preserve">summary.json → lz_failure_count</t>
  </si>
  <si>
    <t xml:space="preserve">Checkov summary (as reported in summary.json → checkov_summary; not interpreted)</t>
  </si>
  <si>
    <t xml:space="preserve">Field</t>
  </si>
  <si>
    <t xml:space="preserve">checkov_version</t>
  </si>
  <si>
    <t xml:space="preserve">3.2.449</t>
  </si>
  <si>
    <t xml:space="preserve">summary.json → checkov_summary.checkov_version</t>
  </si>
  <si>
    <t xml:space="preserve">failed</t>
  </si>
  <si>
    <t xml:space="preserve">summary.json → checkov_summary.failed</t>
  </si>
  <si>
    <t xml:space="preserve">parsing_errors</t>
  </si>
  <si>
    <t xml:space="preserve">summary.json → checkov_summary.parsing_errors</t>
  </si>
  <si>
    <t xml:space="preserve">passed</t>
  </si>
  <si>
    <t xml:space="preserve">summary.json → checkov_summary.passed</t>
  </si>
  <si>
    <t xml:space="preserve">resource_count</t>
  </si>
  <si>
    <t xml:space="preserve">summary.json → checkov_summary.resource_count</t>
  </si>
  <si>
    <t xml:space="preserve">skipped</t>
  </si>
  <si>
    <t xml:space="preserve">summary.json → checkov_summary.skipped</t>
  </si>
  <si>
    <t xml:space="preserve">Own fixtures score (fixture-score.json)</t>
  </si>
  <si>
    <t xml:space="preserve">True positive</t>
  </si>
  <si>
    <t xml:space="preserve">fixture-score.json → true_positive</t>
  </si>
  <si>
    <t xml:space="preserve">True negative</t>
  </si>
  <si>
    <t xml:space="preserve">fixture-score.json → true_negative</t>
  </si>
  <si>
    <t xml:space="preserve">False positive</t>
  </si>
  <si>
    <t xml:space="preserve">fixture-score.json → false_positive</t>
  </si>
  <si>
    <t xml:space="preserve">False negative</t>
  </si>
  <si>
    <t xml:space="preserve">fixture-score.json → false_negative</t>
  </si>
  <si>
    <t xml:space="preserve">Evaluated pairs (sum)</t>
  </si>
  <si>
    <t xml:space="preserve">Evaluated pairs (reported)</t>
  </si>
  <si>
    <t xml:space="preserve">fixture-score.json → evaluated_pairs</t>
  </si>
  <si>
    <t xml:space="preserve">Unevaluated</t>
  </si>
  <si>
    <t xml:space="preserve">fixture-score.json → unevaluated</t>
  </si>
  <si>
    <t xml:space="preserve">Misconfigured fixtures</t>
  </si>
  <si>
    <t xml:space="preserve">fixture-score.json → misconfigured</t>
  </si>
  <si>
    <t xml:space="preserve">Negative controls</t>
  </si>
  <si>
    <t xml:space="preserve">fixture-score.json → negative_controls</t>
  </si>
  <si>
    <t xml:space="preserve">These fixtures and the policies were written together, so a clean score mostly shows the pipeline still matches its own labels. The TerraGoat numbers are the less circular check.</t>
  </si>
  <si>
    <t xml:space="preserve">TerraGoat held-out set (terragoat.json, commit 729f8da, Apache-2.0)</t>
  </si>
  <si>
    <t xml:space="preserve">Technical (Checkov)</t>
  </si>
  <si>
    <t xml:space="preserve">NordPay (Rego)</t>
  </si>
  <si>
    <t xml:space="preserve">terragoat.json → technical / nordpay</t>
  </si>
  <si>
    <t xml:space="preserve">Pairs scored (sum)</t>
  </si>
  <si>
    <t xml:space="preserve">False-negative rules</t>
  </si>
  <si>
    <t xml:space="preserve">terragoat.json → fn_rules</t>
  </si>
  <si>
    <t xml:space="preserve">The storage account never sets enable_https_traffic_only.</t>
  </si>
  <si>
    <t xml:space="preserve">Checkov passed / failed / resources (as reported)</t>
  </si>
  <si>
    <t xml:space="preserve">11 / 23 / 51</t>
  </si>
  <si>
    <t xml:space="preserve">terragoat.json → checkov_summary</t>
  </si>
  <si>
    <t xml:space="preserve">Repository / path</t>
  </si>
  <si>
    <t xml:space="preserve">https://github.com/bridgecrewio/terragoat.git</t>
  </si>
  <si>
    <t xml:space="preserve">terragoat.json → repo, path</t>
  </si>
  <si>
    <t xml:space="preserve">terraform/azure</t>
  </si>
  <si>
    <t xml:space="preserve">Attribution</t>
  </si>
  <si>
    <t xml:space="preserve">terragoat.json → attribution</t>
  </si>
  <si>
    <t xml:space="preserve">TerraGoat is Bridgecrew's vulnerable-by-design Terraform, used here as a held-out set. It is not vendored.</t>
  </si>
  <si>
    <t xml:space="preserve">terragoat.json → note</t>
  </si>
  <si>
    <t xml:space="preserve">Ground truth was read from terraform/azure at that commit, before scoring. Technical rows are the adopted Checkov rules. NordPay rows are our Rego policies, which TerraGoat was never written to satisfy; they are reported separately so a missing tag is not counted as a TerraGoat detection.</t>
  </si>
  <si>
    <t xml:space="preserve">Drift finding (drift.json, mode offline-fixture)</t>
  </si>
  <si>
    <t xml:space="preserve">Lost control</t>
  </si>
  <si>
    <t xml:space="preserve">Rule</t>
  </si>
  <si>
    <t xml:space="preserve">Commit</t>
  </si>
  <si>
    <t xml:space="preserve">File</t>
  </si>
  <si>
    <t xml:space="preserve">35d84e2</t>
  </si>
  <si>
    <t xml:space="preserve">fixtures/drift/broken/main.tf</t>
  </si>
  <si>
    <t xml:space="preserve">Baseline</t>
  </si>
  <si>
    <t xml:space="preserve">fixtures/drift/baseline</t>
  </si>
  <si>
    <t xml:space="preserve">Candidate</t>
  </si>
  <si>
    <t xml:space="preserve">fixtures/drift/broken</t>
  </si>
  <si>
    <t xml:space="preserve">35d84e21208c6d0758dc0cb8cb77d41d5b402cf2</t>
  </si>
  <si>
    <t xml:space="preserve">Simulated drift. Nothing was changed in a cloud account. The broken fixture is a second copy of the storage account with TLS lowered, and the commit is the commit that introduced that file.</t>
  </si>
  <si>
    <t xml:space="preserve">PR preview (summary.json → pr_preview_failed_controls)</t>
  </si>
  <si>
    <t xml:space="preserve">Failed control</t>
  </si>
  <si>
    <t xml:space="preserve">Source</t>
  </si>
  <si>
    <t xml:space="preserve">summary.json → pr_preview_failed_controls</t>
  </si>
  <si>
    <t xml:space="preserve">Timings (summary.json)</t>
  </si>
  <si>
    <t xml:space="preserve">Seconds</t>
  </si>
  <si>
    <t xml:space="preserve">Scan</t>
  </si>
  <si>
    <t xml:space="preserve">summary.json → scan_seconds</t>
  </si>
  <si>
    <t xml:space="preserve">Whole pipeline</t>
  </si>
  <si>
    <t xml:space="preserve">summary.json → pipeline_seconds</t>
  </si>
  <si>
    <t xml:space="preserve">Export: median of samples</t>
  </si>
  <si>
    <t xml:space="preserve">summary.json reports 0.004488</t>
  </si>
  <si>
    <t xml:space="preserve">Export: min of samples</t>
  </si>
  <si>
    <t xml:space="preserve">Export: max of samples</t>
  </si>
  <si>
    <t xml:space="preserve">Export samples (10 repeats, summary.json → export.seconds)</t>
  </si>
  <si>
    <t xml:space="preserve">Samples (s)</t>
  </si>
  <si>
    <t xml:space="preserve">Time to build the auditor pack from an already collected evidence set. The clock inside the pack is fixed across repeats so the samples package the same bytes.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</si>
</sst>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yyyy\-mm\-dd"/>
    <numFmt numFmtId="167" formatCode="yyyy\-mm\-dd\ hh:mm"/>
    <numFmt numFmtId="168" formatCode="0.0000"/>
    <numFmt numFmtId="169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7E6E6"/>
        <bgColor rgb="FFE2EFDA"/>
      </patternFill>
    </fill>
    <fill>
      <patternFill patternType="solid">
        <fgColor rgb="FFF2F2F2"/>
        <bgColor rgb="FFE7E6E6"/>
      </patternFill>
    </fill>
    <fill>
      <patternFill patternType="solid">
        <fgColor rgb="FFFFF2CC"/>
        <bgColor rgb="FFFCE4E4"/>
      </patternFill>
    </fill>
    <fill>
      <patternFill patternType="solid">
        <fgColor rgb="FFD9D9D9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FCE4E4"/>
        <bgColor rgb="FFE7E6E6"/>
      </patternFill>
    </fill>
    <fill>
      <patternFill patternType="solid">
        <fgColor rgb="FF4040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color rgb="FF000000"/>
      </font>
      <fill>
        <patternFill>
          <bgColor rgb="FFF2F2F2"/>
        </patternFill>
      </fill>
    </dxf>
    <dxf>
      <font>
        <color rgb="FF000000"/>
      </font>
      <fill>
        <patternFill>
          <bgColor rgb="FFFFF2CC"/>
        </patternFill>
      </fill>
    </dxf>
    <dxf>
      <font>
        <color rgb="FF000000"/>
      </font>
      <fill>
        <patternFill>
          <bgColor rgb="FFE2EFDA"/>
        </patternFill>
      </fill>
    </dxf>
    <dxf>
      <font>
        <color rgb="FF000000"/>
      </font>
      <fill>
        <patternFill>
          <bgColor rgb="FFFCE4E4"/>
        </patternFill>
      </fill>
    </dxf>
    <dxf>
      <font>
        <i val="1"/>
        <color rgb="FF00000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42"/>
    <col collapsed="false" customWidth="true" hidden="false" outlineLevel="0" max="4" min="4" style="1" width="11"/>
    <col collapsed="false" customWidth="true" hidden="false" outlineLevel="0" max="5" min="5" style="1" width="40"/>
    <col collapsed="false" customWidth="true" hidden="false" outlineLevel="0" max="6" min="6" style="1" width="15"/>
    <col collapsed="false" customWidth="true" hidden="false" outlineLevel="0" max="8" min="7" style="1" width="34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2" min="12" style="1" width="22"/>
    <col collapsed="false" customWidth="true" hidden="false" outlineLevel="0" max="13" min="13" style="1" width="14"/>
    <col collapsed="false" customWidth="true" hidden="false" outlineLevel="0" max="14" min="14" style="1" width="15"/>
    <col collapsed="false" customWidth="true" hidden="false" outlineLevel="0" max="15" min="15" style="1" width="11"/>
    <col collapsed="false" customWidth="true" hidden="false" outlineLevel="0" max="16" min="16" style="1" width="48"/>
    <col collapsed="false" customWidth="true" hidden="false" outlineLevel="0" max="17" min="17" style="1" width="40"/>
    <col collapsed="false" customWidth="true" hidden="false" outlineLevel="0" max="18" min="18" style="1" width="10"/>
    <col collapsed="false" customWidth="true" hidden="false" outlineLevel="0" max="19" min="19" style="1" width="17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5"/>
      <c r="C3" s="5"/>
    </row>
    <row r="4" customFormat="false" ht="15" hidden="false" customHeight="true" outlineLevel="0" collapsed="false">
      <c r="A4" s="6" t="s">
        <v>3</v>
      </c>
      <c r="B4" s="6"/>
      <c r="C4" s="7" t="n">
        <f aca="false">COUNTA($A$14:$A$106)</f>
        <v>93</v>
      </c>
    </row>
    <row r="5" customFormat="false" ht="15" hidden="false" customHeight="true" outlineLevel="0" collapsed="false">
      <c r="A5" s="8" t="s">
        <v>4</v>
      </c>
      <c r="B5" s="8"/>
      <c r="C5" s="7" t="n">
        <f aca="false">COUNTIF($F$14:$F$106,"manual")</f>
        <v>76</v>
      </c>
    </row>
    <row r="6" customFormat="false" ht="15" hidden="false" customHeight="true" outlineLevel="0" collapsed="false">
      <c r="A6" s="9" t="s">
        <v>5</v>
      </c>
      <c r="B6" s="9"/>
      <c r="C6" s="7" t="n">
        <f aca="false">COUNTIF($F$14:$F$106,"partial")</f>
        <v>15</v>
      </c>
    </row>
    <row r="7" customFormat="false" ht="15" hidden="false" customHeight="true" outlineLevel="0" collapsed="false">
      <c r="A7" s="10" t="s">
        <v>6</v>
      </c>
      <c r="B7" s="10"/>
      <c r="C7" s="7" t="n">
        <f aca="false">COUNTIF($F$14:$F$106,"not-applicable")</f>
        <v>2</v>
      </c>
    </row>
    <row r="8" customFormat="false" ht="15" hidden="false" customHeight="true" outlineLevel="0" collapsed="false">
      <c r="A8" s="11" t="s">
        <v>7</v>
      </c>
      <c r="B8" s="11"/>
      <c r="C8" s="7" t="n">
        <f aca="false">COUNTIF($F$14:$F$106,"automated-pass")</f>
        <v>0</v>
      </c>
    </row>
    <row r="9" customFormat="false" ht="15" hidden="false" customHeight="true" outlineLevel="0" collapsed="false">
      <c r="A9" s="12" t="s">
        <v>8</v>
      </c>
      <c r="B9" s="12"/>
      <c r="C9" s="7" t="n">
        <f aca="false">COUNTIF($F$14:$F$106,"automated-fail")</f>
        <v>0</v>
      </c>
    </row>
    <row r="10" customFormat="false" ht="15" hidden="false" customHeight="true" outlineLevel="0" collapsed="false">
      <c r="A10" s="6" t="s">
        <v>9</v>
      </c>
      <c r="B10" s="6"/>
      <c r="C10" s="7" t="n">
        <f aca="false">SUM(C5:C9)</f>
        <v>93</v>
      </c>
      <c r="D10" s="13" t="str">
        <f aca="false">IF(C10=C4,"OK","Mismatch")</f>
        <v>OK</v>
      </c>
    </row>
    <row r="11" customFormat="false" ht="15" hidden="false" customHeight="true" outlineLevel="0" collapsed="false">
      <c r="A11" s="6" t="s">
        <v>10</v>
      </c>
      <c r="B11" s="6"/>
      <c r="C11" s="7" t="n">
        <f aca="false">SUMPRODUCT(--(LEN($G$14:$G$106)&gt;0))</f>
        <v>15</v>
      </c>
    </row>
    <row r="12" customFormat="false" ht="15" hidden="false" customHeight="true" outlineLevel="0" collapsed="false">
      <c r="A12" s="6" t="s">
        <v>11</v>
      </c>
      <c r="B12" s="6"/>
      <c r="C12" s="14" t="n">
        <f aca="false">IF(C4=0,0,C11/C4)</f>
        <v>0.161290322580645</v>
      </c>
    </row>
    <row r="13" customFormat="false" ht="30" hidden="false" customHeight="true" outlineLevel="0" collapsed="false">
      <c r="A13" s="15" t="s">
        <v>12</v>
      </c>
      <c r="B13" s="15" t="s">
        <v>13</v>
      </c>
      <c r="C13" s="15" t="s">
        <v>14</v>
      </c>
      <c r="D13" s="15" t="s">
        <v>15</v>
      </c>
      <c r="E13" s="15" t="s">
        <v>16</v>
      </c>
      <c r="F13" s="15" t="s">
        <v>17</v>
      </c>
      <c r="G13" s="15" t="s">
        <v>18</v>
      </c>
      <c r="H13" s="15" t="s">
        <v>19</v>
      </c>
      <c r="I13" s="15" t="s">
        <v>20</v>
      </c>
      <c r="J13" s="15" t="s">
        <v>21</v>
      </c>
      <c r="K13" s="15" t="s">
        <v>22</v>
      </c>
      <c r="L13" s="15" t="s">
        <v>23</v>
      </c>
      <c r="M13" s="15" t="s">
        <v>24</v>
      </c>
      <c r="N13" s="15" t="s">
        <v>25</v>
      </c>
      <c r="O13" s="15" t="s">
        <v>26</v>
      </c>
      <c r="P13" s="15" t="s">
        <v>27</v>
      </c>
      <c r="Q13" s="15" t="s">
        <v>28</v>
      </c>
      <c r="R13" s="15" t="s">
        <v>29</v>
      </c>
      <c r="S13" s="15" t="s">
        <v>30</v>
      </c>
    </row>
    <row r="14" customFormat="false" ht="23.25" hidden="false" customHeight="true" outlineLevel="0" collapsed="false">
      <c r="A14" s="16" t="s">
        <v>31</v>
      </c>
      <c r="B14" s="16" t="s">
        <v>32</v>
      </c>
      <c r="C14" s="16" t="s">
        <v>33</v>
      </c>
      <c r="D14" s="17" t="s">
        <v>34</v>
      </c>
      <c r="E14" s="16"/>
      <c r="F14" s="16" t="s">
        <v>4</v>
      </c>
      <c r="G14" s="16"/>
      <c r="H14" s="16"/>
      <c r="I14" s="16"/>
      <c r="J14" s="16"/>
      <c r="K14" s="16"/>
      <c r="L14" s="16"/>
      <c r="M14" s="16"/>
      <c r="N14" s="16" t="s">
        <v>35</v>
      </c>
      <c r="O14" s="18" t="n">
        <v>46477</v>
      </c>
      <c r="P14" s="16"/>
      <c r="Q14" s="16"/>
      <c r="R14" s="17" t="n">
        <f aca="false">IF(LEN(Q14)=0,0,LEN(Q14)-LEN(SUBSTITUTE(Q14,CHAR(10),""))+1)</f>
        <v>0</v>
      </c>
      <c r="S14" s="19"/>
    </row>
    <row r="15" customFormat="false" ht="15" hidden="false" customHeight="true" outlineLevel="0" collapsed="false">
      <c r="A15" s="16" t="s">
        <v>36</v>
      </c>
      <c r="B15" s="16" t="s">
        <v>32</v>
      </c>
      <c r="C15" s="16" t="s">
        <v>37</v>
      </c>
      <c r="D15" s="17" t="s">
        <v>34</v>
      </c>
      <c r="E15" s="16"/>
      <c r="F15" s="16" t="s">
        <v>4</v>
      </c>
      <c r="G15" s="16"/>
      <c r="H15" s="16"/>
      <c r="I15" s="16"/>
      <c r="J15" s="16"/>
      <c r="K15" s="16"/>
      <c r="L15" s="16"/>
      <c r="M15" s="16"/>
      <c r="N15" s="16" t="s">
        <v>35</v>
      </c>
      <c r="O15" s="18" t="n">
        <v>46477</v>
      </c>
      <c r="P15" s="16"/>
      <c r="Q15" s="16"/>
      <c r="R15" s="17" t="n">
        <f aca="false">IF(LEN(Q15)=0,0,LEN(Q15)-LEN(SUBSTITUTE(Q15,CHAR(10),""))+1)</f>
        <v>0</v>
      </c>
      <c r="S15" s="19"/>
    </row>
    <row r="16" customFormat="false" ht="23.25" hidden="false" customHeight="true" outlineLevel="0" collapsed="false">
      <c r="A16" s="16" t="s">
        <v>38</v>
      </c>
      <c r="B16" s="16" t="s">
        <v>32</v>
      </c>
      <c r="C16" s="16" t="s">
        <v>39</v>
      </c>
      <c r="D16" s="17" t="s">
        <v>34</v>
      </c>
      <c r="E16" s="16"/>
      <c r="F16" s="16" t="s">
        <v>4</v>
      </c>
      <c r="G16" s="16"/>
      <c r="H16" s="16"/>
      <c r="I16" s="16"/>
      <c r="J16" s="16"/>
      <c r="K16" s="16"/>
      <c r="L16" s="16"/>
      <c r="M16" s="16"/>
      <c r="N16" s="16" t="s">
        <v>35</v>
      </c>
      <c r="O16" s="18" t="n">
        <v>46477</v>
      </c>
      <c r="P16" s="16"/>
      <c r="Q16" s="16"/>
      <c r="R16" s="17" t="n">
        <f aca="false">IF(LEN(Q16)=0,0,LEN(Q16)-LEN(SUBSTITUTE(Q16,CHAR(10),""))+1)</f>
        <v>0</v>
      </c>
      <c r="S16" s="19"/>
    </row>
    <row r="17" customFormat="false" ht="15" hidden="false" customHeight="true" outlineLevel="0" collapsed="false">
      <c r="A17" s="16" t="s">
        <v>40</v>
      </c>
      <c r="B17" s="16" t="s">
        <v>32</v>
      </c>
      <c r="C17" s="16" t="s">
        <v>41</v>
      </c>
      <c r="D17" s="17" t="s">
        <v>34</v>
      </c>
      <c r="E17" s="16"/>
      <c r="F17" s="16" t="s">
        <v>4</v>
      </c>
      <c r="G17" s="16"/>
      <c r="H17" s="16"/>
      <c r="I17" s="16"/>
      <c r="J17" s="16"/>
      <c r="K17" s="16"/>
      <c r="L17" s="16"/>
      <c r="M17" s="16"/>
      <c r="N17" s="16" t="s">
        <v>35</v>
      </c>
      <c r="O17" s="18" t="n">
        <v>46477</v>
      </c>
      <c r="P17" s="16"/>
      <c r="Q17" s="16"/>
      <c r="R17" s="17" t="n">
        <f aca="false">IF(LEN(Q17)=0,0,LEN(Q17)-LEN(SUBSTITUTE(Q17,CHAR(10),""))+1)</f>
        <v>0</v>
      </c>
      <c r="S17" s="19"/>
    </row>
    <row r="18" customFormat="false" ht="15" hidden="false" customHeight="true" outlineLevel="0" collapsed="false">
      <c r="A18" s="16" t="s">
        <v>42</v>
      </c>
      <c r="B18" s="16" t="s">
        <v>32</v>
      </c>
      <c r="C18" s="16" t="s">
        <v>43</v>
      </c>
      <c r="D18" s="17" t="s">
        <v>34</v>
      </c>
      <c r="E18" s="16"/>
      <c r="F18" s="16" t="s">
        <v>4</v>
      </c>
      <c r="G18" s="16"/>
      <c r="H18" s="16"/>
      <c r="I18" s="16"/>
      <c r="J18" s="16"/>
      <c r="K18" s="16"/>
      <c r="L18" s="16"/>
      <c r="M18" s="16"/>
      <c r="N18" s="16" t="s">
        <v>35</v>
      </c>
      <c r="O18" s="18" t="n">
        <v>46477</v>
      </c>
      <c r="P18" s="16"/>
      <c r="Q18" s="16"/>
      <c r="R18" s="17" t="n">
        <f aca="false">IF(LEN(Q18)=0,0,LEN(Q18)-LEN(SUBSTITUTE(Q18,CHAR(10),""))+1)</f>
        <v>0</v>
      </c>
      <c r="S18" s="19"/>
    </row>
    <row r="19" customFormat="false" ht="15" hidden="false" customHeight="true" outlineLevel="0" collapsed="false">
      <c r="A19" s="16" t="s">
        <v>44</v>
      </c>
      <c r="B19" s="16" t="s">
        <v>32</v>
      </c>
      <c r="C19" s="16" t="s">
        <v>45</v>
      </c>
      <c r="D19" s="17" t="s">
        <v>34</v>
      </c>
      <c r="E19" s="16"/>
      <c r="F19" s="16" t="s">
        <v>4</v>
      </c>
      <c r="G19" s="16"/>
      <c r="H19" s="16"/>
      <c r="I19" s="16"/>
      <c r="J19" s="16"/>
      <c r="K19" s="16"/>
      <c r="L19" s="16"/>
      <c r="M19" s="16"/>
      <c r="N19" s="16" t="s">
        <v>35</v>
      </c>
      <c r="O19" s="18" t="n">
        <v>46477</v>
      </c>
      <c r="P19" s="16"/>
      <c r="Q19" s="16"/>
      <c r="R19" s="17" t="n">
        <f aca="false">IF(LEN(Q19)=0,0,LEN(Q19)-LEN(SUBSTITUTE(Q19,CHAR(10),""))+1)</f>
        <v>0</v>
      </c>
      <c r="S19" s="19"/>
    </row>
    <row r="20" customFormat="false" ht="15" hidden="false" customHeight="true" outlineLevel="0" collapsed="false">
      <c r="A20" s="16" t="s">
        <v>46</v>
      </c>
      <c r="B20" s="16" t="s">
        <v>32</v>
      </c>
      <c r="C20" s="16" t="s">
        <v>47</v>
      </c>
      <c r="D20" s="17" t="s">
        <v>34</v>
      </c>
      <c r="E20" s="16"/>
      <c r="F20" s="16" t="s">
        <v>4</v>
      </c>
      <c r="G20" s="16"/>
      <c r="H20" s="16"/>
      <c r="I20" s="16"/>
      <c r="J20" s="16"/>
      <c r="K20" s="16"/>
      <c r="L20" s="16"/>
      <c r="M20" s="16"/>
      <c r="N20" s="16" t="s">
        <v>35</v>
      </c>
      <c r="O20" s="18" t="n">
        <v>46477</v>
      </c>
      <c r="P20" s="16"/>
      <c r="Q20" s="16"/>
      <c r="R20" s="17" t="n">
        <f aca="false">IF(LEN(Q20)=0,0,LEN(Q20)-LEN(SUBSTITUTE(Q20,CHAR(10),""))+1)</f>
        <v>0</v>
      </c>
      <c r="S20" s="19"/>
    </row>
    <row r="21" customFormat="false" ht="15" hidden="false" customHeight="true" outlineLevel="0" collapsed="false">
      <c r="A21" s="16" t="s">
        <v>48</v>
      </c>
      <c r="B21" s="16" t="s">
        <v>32</v>
      </c>
      <c r="C21" s="16" t="s">
        <v>49</v>
      </c>
      <c r="D21" s="17" t="s">
        <v>34</v>
      </c>
      <c r="E21" s="16"/>
      <c r="F21" s="16" t="s">
        <v>4</v>
      </c>
      <c r="G21" s="16"/>
      <c r="H21" s="16"/>
      <c r="I21" s="16"/>
      <c r="J21" s="16"/>
      <c r="K21" s="16"/>
      <c r="L21" s="16"/>
      <c r="M21" s="16"/>
      <c r="N21" s="16" t="s">
        <v>35</v>
      </c>
      <c r="O21" s="18" t="n">
        <v>46477</v>
      </c>
      <c r="P21" s="16"/>
      <c r="Q21" s="16"/>
      <c r="R21" s="17" t="n">
        <f aca="false">IF(LEN(Q21)=0,0,LEN(Q21)-LEN(SUBSTITUTE(Q21,CHAR(10),""))+1)</f>
        <v>0</v>
      </c>
      <c r="S21" s="19"/>
    </row>
    <row r="22" customFormat="false" ht="23.25" hidden="false" customHeight="true" outlineLevel="0" collapsed="false">
      <c r="A22" s="16" t="s">
        <v>50</v>
      </c>
      <c r="B22" s="16" t="s">
        <v>32</v>
      </c>
      <c r="C22" s="16" t="s">
        <v>51</v>
      </c>
      <c r="D22" s="17" t="s">
        <v>34</v>
      </c>
      <c r="E22" s="16"/>
      <c r="F22" s="16" t="s">
        <v>5</v>
      </c>
      <c r="G22" s="16" t="s">
        <v>52</v>
      </c>
      <c r="H22" s="16" t="s">
        <v>52</v>
      </c>
      <c r="I22" s="16"/>
      <c r="J22" s="16"/>
      <c r="K22" s="16" t="s">
        <v>53</v>
      </c>
      <c r="L22" s="16" t="s">
        <v>54</v>
      </c>
      <c r="M22" s="16" t="s">
        <v>55</v>
      </c>
      <c r="N22" s="16" t="s">
        <v>35</v>
      </c>
      <c r="O22" s="18" t="n">
        <v>46477</v>
      </c>
      <c r="P22" s="16" t="s">
        <v>56</v>
      </c>
      <c r="Q22" s="16" t="s">
        <v>57</v>
      </c>
      <c r="R22" s="17" t="n">
        <f aca="false">IF(LEN(Q22)=0,0,LEN(Q22)-LEN(SUBSTITUTE(Q22,CHAR(10),""))+1)</f>
        <v>1</v>
      </c>
      <c r="S22" s="19" t="n">
        <v>46322.5549884259</v>
      </c>
    </row>
    <row r="23" customFormat="false" ht="15" hidden="false" customHeight="true" outlineLevel="0" collapsed="false">
      <c r="A23" s="16" t="s">
        <v>58</v>
      </c>
      <c r="B23" s="16" t="s">
        <v>32</v>
      </c>
      <c r="C23" s="16" t="s">
        <v>59</v>
      </c>
      <c r="D23" s="17" t="s">
        <v>34</v>
      </c>
      <c r="E23" s="16"/>
      <c r="F23" s="16" t="s">
        <v>4</v>
      </c>
      <c r="G23" s="16"/>
      <c r="H23" s="16"/>
      <c r="I23" s="16"/>
      <c r="J23" s="16"/>
      <c r="K23" s="16"/>
      <c r="L23" s="16"/>
      <c r="M23" s="16"/>
      <c r="N23" s="16" t="s">
        <v>35</v>
      </c>
      <c r="O23" s="18" t="n">
        <v>46477</v>
      </c>
      <c r="P23" s="16"/>
      <c r="Q23" s="16"/>
      <c r="R23" s="17" t="n">
        <f aca="false">IF(LEN(Q23)=0,0,LEN(Q23)-LEN(SUBSTITUTE(Q23,CHAR(10),""))+1)</f>
        <v>0</v>
      </c>
      <c r="S23" s="19"/>
    </row>
    <row r="24" customFormat="false" ht="15" hidden="false" customHeight="true" outlineLevel="0" collapsed="false">
      <c r="A24" s="16" t="s">
        <v>60</v>
      </c>
      <c r="B24" s="16" t="s">
        <v>32</v>
      </c>
      <c r="C24" s="16" t="s">
        <v>61</v>
      </c>
      <c r="D24" s="17" t="s">
        <v>34</v>
      </c>
      <c r="E24" s="16"/>
      <c r="F24" s="16" t="s">
        <v>4</v>
      </c>
      <c r="G24" s="16"/>
      <c r="H24" s="16"/>
      <c r="I24" s="16"/>
      <c r="J24" s="16"/>
      <c r="K24" s="16"/>
      <c r="L24" s="16"/>
      <c r="M24" s="16"/>
      <c r="N24" s="16" t="s">
        <v>35</v>
      </c>
      <c r="O24" s="18" t="n">
        <v>46477</v>
      </c>
      <c r="P24" s="16"/>
      <c r="Q24" s="16"/>
      <c r="R24" s="17" t="n">
        <f aca="false">IF(LEN(Q24)=0,0,LEN(Q24)-LEN(SUBSTITUTE(Q24,CHAR(10),""))+1)</f>
        <v>0</v>
      </c>
      <c r="S24" s="19"/>
    </row>
    <row r="25" customFormat="false" ht="23.25" hidden="false" customHeight="true" outlineLevel="0" collapsed="false">
      <c r="A25" s="16" t="s">
        <v>62</v>
      </c>
      <c r="B25" s="16" t="s">
        <v>32</v>
      </c>
      <c r="C25" s="16" t="s">
        <v>63</v>
      </c>
      <c r="D25" s="17" t="s">
        <v>34</v>
      </c>
      <c r="E25" s="16"/>
      <c r="F25" s="16" t="s">
        <v>5</v>
      </c>
      <c r="G25" s="16" t="s">
        <v>64</v>
      </c>
      <c r="H25" s="16" t="s">
        <v>64</v>
      </c>
      <c r="I25" s="16"/>
      <c r="J25" s="16"/>
      <c r="K25" s="16" t="s">
        <v>65</v>
      </c>
      <c r="L25" s="16" t="s">
        <v>54</v>
      </c>
      <c r="M25" s="16" t="s">
        <v>55</v>
      </c>
      <c r="N25" s="16" t="s">
        <v>35</v>
      </c>
      <c r="O25" s="18" t="n">
        <v>46477</v>
      </c>
      <c r="P25" s="16" t="s">
        <v>66</v>
      </c>
      <c r="Q25" s="16" t="s">
        <v>67</v>
      </c>
      <c r="R25" s="17" t="n">
        <f aca="false">IF(LEN(Q25)=0,0,LEN(Q25)-LEN(SUBSTITUTE(Q25,CHAR(10),""))+1)</f>
        <v>1</v>
      </c>
      <c r="S25" s="19" t="n">
        <v>46322.5549884259</v>
      </c>
    </row>
    <row r="26" customFormat="false" ht="15" hidden="false" customHeight="true" outlineLevel="0" collapsed="false">
      <c r="A26" s="16" t="s">
        <v>68</v>
      </c>
      <c r="B26" s="16" t="s">
        <v>32</v>
      </c>
      <c r="C26" s="16" t="s">
        <v>69</v>
      </c>
      <c r="D26" s="17" t="s">
        <v>34</v>
      </c>
      <c r="E26" s="16"/>
      <c r="F26" s="16" t="s">
        <v>4</v>
      </c>
      <c r="G26" s="16"/>
      <c r="H26" s="16"/>
      <c r="I26" s="16"/>
      <c r="J26" s="16"/>
      <c r="K26" s="16"/>
      <c r="L26" s="16"/>
      <c r="M26" s="16"/>
      <c r="N26" s="16" t="s">
        <v>35</v>
      </c>
      <c r="O26" s="18" t="n">
        <v>46477</v>
      </c>
      <c r="P26" s="16"/>
      <c r="Q26" s="16"/>
      <c r="R26" s="17" t="n">
        <f aca="false">IF(LEN(Q26)=0,0,LEN(Q26)-LEN(SUBSTITUTE(Q26,CHAR(10),""))+1)</f>
        <v>0</v>
      </c>
      <c r="S26" s="19"/>
    </row>
    <row r="27" customFormat="false" ht="23.25" hidden="false" customHeight="true" outlineLevel="0" collapsed="false">
      <c r="A27" s="16" t="s">
        <v>70</v>
      </c>
      <c r="B27" s="16" t="s">
        <v>32</v>
      </c>
      <c r="C27" s="16" t="s">
        <v>71</v>
      </c>
      <c r="D27" s="17" t="s">
        <v>34</v>
      </c>
      <c r="E27" s="16"/>
      <c r="F27" s="16" t="s">
        <v>4</v>
      </c>
      <c r="G27" s="16"/>
      <c r="H27" s="16"/>
      <c r="I27" s="16"/>
      <c r="J27" s="16"/>
      <c r="K27" s="16"/>
      <c r="L27" s="16"/>
      <c r="M27" s="16"/>
      <c r="N27" s="16" t="s">
        <v>35</v>
      </c>
      <c r="O27" s="18" t="n">
        <v>46477</v>
      </c>
      <c r="P27" s="16"/>
      <c r="Q27" s="16"/>
      <c r="R27" s="17" t="n">
        <f aca="false">IF(LEN(Q27)=0,0,LEN(Q27)-LEN(SUBSTITUTE(Q27,CHAR(10),""))+1)</f>
        <v>0</v>
      </c>
      <c r="S27" s="19"/>
    </row>
    <row r="28" customFormat="false" ht="34.5" hidden="false" customHeight="true" outlineLevel="0" collapsed="false">
      <c r="A28" s="16" t="s">
        <v>72</v>
      </c>
      <c r="B28" s="16" t="s">
        <v>32</v>
      </c>
      <c r="C28" s="16" t="s">
        <v>73</v>
      </c>
      <c r="D28" s="17" t="s">
        <v>34</v>
      </c>
      <c r="E28" s="16"/>
      <c r="F28" s="16" t="s">
        <v>5</v>
      </c>
      <c r="G28" s="16" t="s">
        <v>74</v>
      </c>
      <c r="H28" s="16" t="s">
        <v>74</v>
      </c>
      <c r="I28" s="16"/>
      <c r="J28" s="16"/>
      <c r="K28" s="16" t="s">
        <v>75</v>
      </c>
      <c r="L28" s="16" t="s">
        <v>76</v>
      </c>
      <c r="M28" s="16" t="s">
        <v>77</v>
      </c>
      <c r="N28" s="16" t="s">
        <v>35</v>
      </c>
      <c r="O28" s="18" t="n">
        <v>46477</v>
      </c>
      <c r="P28" s="16" t="s">
        <v>78</v>
      </c>
      <c r="Q28" s="16" t="s">
        <v>79</v>
      </c>
      <c r="R28" s="17" t="n">
        <f aca="false">IF(LEN(Q28)=0,0,LEN(Q28)-LEN(SUBSTITUTE(Q28,CHAR(10),""))+1)</f>
        <v>3</v>
      </c>
      <c r="S28" s="19" t="n">
        <v>46322.5549884259</v>
      </c>
    </row>
    <row r="29" customFormat="false" ht="15" hidden="false" customHeight="true" outlineLevel="0" collapsed="false">
      <c r="A29" s="16" t="s">
        <v>80</v>
      </c>
      <c r="B29" s="16" t="s">
        <v>32</v>
      </c>
      <c r="C29" s="16" t="s">
        <v>81</v>
      </c>
      <c r="D29" s="17" t="s">
        <v>34</v>
      </c>
      <c r="E29" s="16"/>
      <c r="F29" s="16" t="s">
        <v>4</v>
      </c>
      <c r="G29" s="16"/>
      <c r="H29" s="16"/>
      <c r="I29" s="16"/>
      <c r="J29" s="16"/>
      <c r="K29" s="16"/>
      <c r="L29" s="16"/>
      <c r="M29" s="16"/>
      <c r="N29" s="16" t="s">
        <v>35</v>
      </c>
      <c r="O29" s="18" t="n">
        <v>46477</v>
      </c>
      <c r="P29" s="16"/>
      <c r="Q29" s="16"/>
      <c r="R29" s="17" t="n">
        <f aca="false">IF(LEN(Q29)=0,0,LEN(Q29)-LEN(SUBSTITUTE(Q29,CHAR(10),""))+1)</f>
        <v>0</v>
      </c>
      <c r="S29" s="19"/>
    </row>
    <row r="30" customFormat="false" ht="15" hidden="false" customHeight="true" outlineLevel="0" collapsed="false">
      <c r="A30" s="16" t="s">
        <v>82</v>
      </c>
      <c r="B30" s="16" t="s">
        <v>32</v>
      </c>
      <c r="C30" s="16" t="s">
        <v>83</v>
      </c>
      <c r="D30" s="17" t="s">
        <v>34</v>
      </c>
      <c r="E30" s="16"/>
      <c r="F30" s="16" t="s">
        <v>4</v>
      </c>
      <c r="G30" s="16"/>
      <c r="H30" s="16"/>
      <c r="I30" s="16"/>
      <c r="J30" s="16"/>
      <c r="K30" s="16"/>
      <c r="L30" s="16"/>
      <c r="M30" s="16"/>
      <c r="N30" s="16" t="s">
        <v>35</v>
      </c>
      <c r="O30" s="18" t="n">
        <v>46477</v>
      </c>
      <c r="P30" s="16"/>
      <c r="Q30" s="16"/>
      <c r="R30" s="17" t="n">
        <f aca="false">IF(LEN(Q30)=0,0,LEN(Q30)-LEN(SUBSTITUTE(Q30,CHAR(10),""))+1)</f>
        <v>0</v>
      </c>
      <c r="S30" s="19"/>
    </row>
    <row r="31" customFormat="false" ht="15" hidden="false" customHeight="true" outlineLevel="0" collapsed="false">
      <c r="A31" s="16" t="s">
        <v>84</v>
      </c>
      <c r="B31" s="16" t="s">
        <v>32</v>
      </c>
      <c r="C31" s="16" t="s">
        <v>85</v>
      </c>
      <c r="D31" s="17" t="s">
        <v>34</v>
      </c>
      <c r="E31" s="16"/>
      <c r="F31" s="16" t="s">
        <v>4</v>
      </c>
      <c r="G31" s="16"/>
      <c r="H31" s="16"/>
      <c r="I31" s="16"/>
      <c r="J31" s="16"/>
      <c r="K31" s="16"/>
      <c r="L31" s="16"/>
      <c r="M31" s="16"/>
      <c r="N31" s="16" t="s">
        <v>35</v>
      </c>
      <c r="O31" s="18" t="n">
        <v>46477</v>
      </c>
      <c r="P31" s="16"/>
      <c r="Q31" s="16"/>
      <c r="R31" s="17" t="n">
        <f aca="false">IF(LEN(Q31)=0,0,LEN(Q31)-LEN(SUBSTITUTE(Q31,CHAR(10),""))+1)</f>
        <v>0</v>
      </c>
      <c r="S31" s="19"/>
    </row>
    <row r="32" customFormat="false" ht="15" hidden="false" customHeight="true" outlineLevel="0" collapsed="false">
      <c r="A32" s="16" t="s">
        <v>86</v>
      </c>
      <c r="B32" s="16" t="s">
        <v>32</v>
      </c>
      <c r="C32" s="16" t="s">
        <v>87</v>
      </c>
      <c r="D32" s="17" t="s">
        <v>34</v>
      </c>
      <c r="E32" s="16"/>
      <c r="F32" s="16" t="s">
        <v>4</v>
      </c>
      <c r="G32" s="16"/>
      <c r="H32" s="16"/>
      <c r="I32" s="16"/>
      <c r="J32" s="16"/>
      <c r="K32" s="16"/>
      <c r="L32" s="16"/>
      <c r="M32" s="16"/>
      <c r="N32" s="16" t="s">
        <v>35</v>
      </c>
      <c r="O32" s="18" t="n">
        <v>46477</v>
      </c>
      <c r="P32" s="16"/>
      <c r="Q32" s="16"/>
      <c r="R32" s="17" t="n">
        <f aca="false">IF(LEN(Q32)=0,0,LEN(Q32)-LEN(SUBSTITUTE(Q32,CHAR(10),""))+1)</f>
        <v>0</v>
      </c>
      <c r="S32" s="19"/>
    </row>
    <row r="33" customFormat="false" ht="15" hidden="false" customHeight="true" outlineLevel="0" collapsed="false">
      <c r="A33" s="16" t="s">
        <v>88</v>
      </c>
      <c r="B33" s="16" t="s">
        <v>32</v>
      </c>
      <c r="C33" s="16" t="s">
        <v>89</v>
      </c>
      <c r="D33" s="17" t="s">
        <v>34</v>
      </c>
      <c r="E33" s="16"/>
      <c r="F33" s="16" t="s">
        <v>4</v>
      </c>
      <c r="G33" s="16"/>
      <c r="H33" s="16"/>
      <c r="I33" s="16"/>
      <c r="J33" s="16"/>
      <c r="K33" s="16"/>
      <c r="L33" s="16"/>
      <c r="M33" s="16"/>
      <c r="N33" s="16" t="s">
        <v>35</v>
      </c>
      <c r="O33" s="18" t="n">
        <v>46477</v>
      </c>
      <c r="P33" s="16"/>
      <c r="Q33" s="16"/>
      <c r="R33" s="17" t="n">
        <f aca="false">IF(LEN(Q33)=0,0,LEN(Q33)-LEN(SUBSTITUTE(Q33,CHAR(10),""))+1)</f>
        <v>0</v>
      </c>
      <c r="S33" s="19"/>
    </row>
    <row r="34" customFormat="false" ht="15" hidden="false" customHeight="true" outlineLevel="0" collapsed="false">
      <c r="A34" s="16" t="s">
        <v>90</v>
      </c>
      <c r="B34" s="16" t="s">
        <v>32</v>
      </c>
      <c r="C34" s="16" t="s">
        <v>91</v>
      </c>
      <c r="D34" s="17" t="s">
        <v>34</v>
      </c>
      <c r="E34" s="16"/>
      <c r="F34" s="16" t="s">
        <v>4</v>
      </c>
      <c r="G34" s="16"/>
      <c r="H34" s="16"/>
      <c r="I34" s="16"/>
      <c r="J34" s="16"/>
      <c r="K34" s="16"/>
      <c r="L34" s="16"/>
      <c r="M34" s="16"/>
      <c r="N34" s="16" t="s">
        <v>35</v>
      </c>
      <c r="O34" s="18" t="n">
        <v>46477</v>
      </c>
      <c r="P34" s="16"/>
      <c r="Q34" s="16"/>
      <c r="R34" s="17" t="n">
        <f aca="false">IF(LEN(Q34)=0,0,LEN(Q34)-LEN(SUBSTITUTE(Q34,CHAR(10),""))+1)</f>
        <v>0</v>
      </c>
      <c r="S34" s="19"/>
    </row>
    <row r="35" customFormat="false" ht="23.25" hidden="false" customHeight="true" outlineLevel="0" collapsed="false">
      <c r="A35" s="16" t="s">
        <v>92</v>
      </c>
      <c r="B35" s="16" t="s">
        <v>32</v>
      </c>
      <c r="C35" s="16" t="s">
        <v>93</v>
      </c>
      <c r="D35" s="17" t="s">
        <v>34</v>
      </c>
      <c r="E35" s="16"/>
      <c r="F35" s="16" t="s">
        <v>4</v>
      </c>
      <c r="G35" s="16"/>
      <c r="H35" s="16"/>
      <c r="I35" s="16"/>
      <c r="J35" s="16"/>
      <c r="K35" s="16"/>
      <c r="L35" s="16"/>
      <c r="M35" s="16"/>
      <c r="N35" s="16" t="s">
        <v>35</v>
      </c>
      <c r="O35" s="18" t="n">
        <v>46477</v>
      </c>
      <c r="P35" s="16"/>
      <c r="Q35" s="16"/>
      <c r="R35" s="17" t="n">
        <f aca="false">IF(LEN(Q35)=0,0,LEN(Q35)-LEN(SUBSTITUTE(Q35,CHAR(10),""))+1)</f>
        <v>0</v>
      </c>
      <c r="S35" s="19"/>
    </row>
    <row r="36" customFormat="false" ht="23.25" hidden="false" customHeight="true" outlineLevel="0" collapsed="false">
      <c r="A36" s="16" t="s">
        <v>94</v>
      </c>
      <c r="B36" s="16" t="s">
        <v>32</v>
      </c>
      <c r="C36" s="16" t="s">
        <v>95</v>
      </c>
      <c r="D36" s="17" t="s">
        <v>34</v>
      </c>
      <c r="E36" s="16"/>
      <c r="F36" s="16" t="s">
        <v>5</v>
      </c>
      <c r="G36" s="16" t="s">
        <v>96</v>
      </c>
      <c r="H36" s="16" t="s">
        <v>96</v>
      </c>
      <c r="I36" s="16"/>
      <c r="J36" s="16"/>
      <c r="K36" s="16" t="s">
        <v>97</v>
      </c>
      <c r="L36" s="16" t="s">
        <v>54</v>
      </c>
      <c r="M36" s="16" t="s">
        <v>77</v>
      </c>
      <c r="N36" s="16" t="s">
        <v>35</v>
      </c>
      <c r="O36" s="18" t="n">
        <v>46477</v>
      </c>
      <c r="P36" s="16" t="s">
        <v>98</v>
      </c>
      <c r="Q36" s="16" t="s">
        <v>99</v>
      </c>
      <c r="R36" s="17" t="n">
        <f aca="false">IF(LEN(Q36)=0,0,LEN(Q36)-LEN(SUBSTITUTE(Q36,CHAR(10),""))+1)</f>
        <v>1</v>
      </c>
      <c r="S36" s="19" t="n">
        <v>46322.5549884259</v>
      </c>
    </row>
    <row r="37" customFormat="false" ht="15" hidden="false" customHeight="true" outlineLevel="0" collapsed="false">
      <c r="A37" s="16" t="s">
        <v>100</v>
      </c>
      <c r="B37" s="16" t="s">
        <v>32</v>
      </c>
      <c r="C37" s="16" t="s">
        <v>101</v>
      </c>
      <c r="D37" s="17" t="s">
        <v>34</v>
      </c>
      <c r="E37" s="16"/>
      <c r="F37" s="16" t="s">
        <v>4</v>
      </c>
      <c r="G37" s="16"/>
      <c r="H37" s="16"/>
      <c r="I37" s="16"/>
      <c r="J37" s="16"/>
      <c r="K37" s="16"/>
      <c r="L37" s="16"/>
      <c r="M37" s="16"/>
      <c r="N37" s="16" t="s">
        <v>35</v>
      </c>
      <c r="O37" s="18" t="n">
        <v>46477</v>
      </c>
      <c r="P37" s="16"/>
      <c r="Q37" s="16"/>
      <c r="R37" s="17" t="n">
        <f aca="false">IF(LEN(Q37)=0,0,LEN(Q37)-LEN(SUBSTITUTE(Q37,CHAR(10),""))+1)</f>
        <v>0</v>
      </c>
      <c r="S37" s="19"/>
    </row>
    <row r="38" customFormat="false" ht="15" hidden="false" customHeight="true" outlineLevel="0" collapsed="false">
      <c r="A38" s="16" t="s">
        <v>102</v>
      </c>
      <c r="B38" s="16" t="s">
        <v>32</v>
      </c>
      <c r="C38" s="16" t="s">
        <v>103</v>
      </c>
      <c r="D38" s="17" t="s">
        <v>34</v>
      </c>
      <c r="E38" s="16"/>
      <c r="F38" s="16" t="s">
        <v>4</v>
      </c>
      <c r="G38" s="16"/>
      <c r="H38" s="16"/>
      <c r="I38" s="16"/>
      <c r="J38" s="16"/>
      <c r="K38" s="16"/>
      <c r="L38" s="16"/>
      <c r="M38" s="16"/>
      <c r="N38" s="16" t="s">
        <v>35</v>
      </c>
      <c r="O38" s="18" t="n">
        <v>46477</v>
      </c>
      <c r="P38" s="16"/>
      <c r="Q38" s="16"/>
      <c r="R38" s="17" t="n">
        <f aca="false">IF(LEN(Q38)=0,0,LEN(Q38)-LEN(SUBSTITUTE(Q38,CHAR(10),""))+1)</f>
        <v>0</v>
      </c>
      <c r="S38" s="19"/>
    </row>
    <row r="39" customFormat="false" ht="15" hidden="false" customHeight="true" outlineLevel="0" collapsed="false">
      <c r="A39" s="16" t="s">
        <v>104</v>
      </c>
      <c r="B39" s="16" t="s">
        <v>32</v>
      </c>
      <c r="C39" s="16" t="s">
        <v>105</v>
      </c>
      <c r="D39" s="17" t="s">
        <v>34</v>
      </c>
      <c r="E39" s="16"/>
      <c r="F39" s="16" t="s">
        <v>4</v>
      </c>
      <c r="G39" s="16"/>
      <c r="H39" s="16"/>
      <c r="I39" s="16"/>
      <c r="J39" s="16"/>
      <c r="K39" s="16"/>
      <c r="L39" s="16"/>
      <c r="M39" s="16"/>
      <c r="N39" s="16" t="s">
        <v>35</v>
      </c>
      <c r="O39" s="18" t="n">
        <v>46477</v>
      </c>
      <c r="P39" s="16"/>
      <c r="Q39" s="16"/>
      <c r="R39" s="17" t="n">
        <f aca="false">IF(LEN(Q39)=0,0,LEN(Q39)-LEN(SUBSTITUTE(Q39,CHAR(10),""))+1)</f>
        <v>0</v>
      </c>
      <c r="S39" s="19"/>
    </row>
    <row r="40" customFormat="false" ht="15" hidden="false" customHeight="true" outlineLevel="0" collapsed="false">
      <c r="A40" s="16" t="s">
        <v>106</v>
      </c>
      <c r="B40" s="16" t="s">
        <v>32</v>
      </c>
      <c r="C40" s="16" t="s">
        <v>107</v>
      </c>
      <c r="D40" s="17" t="s">
        <v>34</v>
      </c>
      <c r="E40" s="16"/>
      <c r="F40" s="16" t="s">
        <v>4</v>
      </c>
      <c r="G40" s="16"/>
      <c r="H40" s="16"/>
      <c r="I40" s="16"/>
      <c r="J40" s="16"/>
      <c r="K40" s="16"/>
      <c r="L40" s="16"/>
      <c r="M40" s="16"/>
      <c r="N40" s="16" t="s">
        <v>35</v>
      </c>
      <c r="O40" s="18" t="n">
        <v>46477</v>
      </c>
      <c r="P40" s="16"/>
      <c r="Q40" s="16"/>
      <c r="R40" s="17" t="n">
        <f aca="false">IF(LEN(Q40)=0,0,LEN(Q40)-LEN(SUBSTITUTE(Q40,CHAR(10),""))+1)</f>
        <v>0</v>
      </c>
      <c r="S40" s="19"/>
    </row>
    <row r="41" customFormat="false" ht="23.25" hidden="false" customHeight="true" outlineLevel="0" collapsed="false">
      <c r="A41" s="16" t="s">
        <v>108</v>
      </c>
      <c r="B41" s="16" t="s">
        <v>32</v>
      </c>
      <c r="C41" s="16" t="s">
        <v>109</v>
      </c>
      <c r="D41" s="17" t="s">
        <v>34</v>
      </c>
      <c r="E41" s="16"/>
      <c r="F41" s="16" t="s">
        <v>5</v>
      </c>
      <c r="G41" s="16" t="s">
        <v>110</v>
      </c>
      <c r="H41" s="16" t="s">
        <v>110</v>
      </c>
      <c r="I41" s="16"/>
      <c r="J41" s="16"/>
      <c r="K41" s="16" t="s">
        <v>111</v>
      </c>
      <c r="L41" s="16" t="s">
        <v>112</v>
      </c>
      <c r="M41" s="16" t="s">
        <v>113</v>
      </c>
      <c r="N41" s="16" t="s">
        <v>35</v>
      </c>
      <c r="O41" s="18" t="n">
        <v>46477</v>
      </c>
      <c r="P41" s="16" t="s">
        <v>114</v>
      </c>
      <c r="Q41" s="16" t="s">
        <v>115</v>
      </c>
      <c r="R41" s="17" t="n">
        <f aca="false">IF(LEN(Q41)=0,0,LEN(Q41)-LEN(SUBSTITUTE(Q41,CHAR(10),""))+1)</f>
        <v>1</v>
      </c>
      <c r="S41" s="19" t="n">
        <v>46322.5549884259</v>
      </c>
    </row>
    <row r="42" customFormat="false" ht="15" hidden="false" customHeight="true" outlineLevel="0" collapsed="false">
      <c r="A42" s="16" t="s">
        <v>116</v>
      </c>
      <c r="B42" s="16" t="s">
        <v>32</v>
      </c>
      <c r="C42" s="16" t="s">
        <v>117</v>
      </c>
      <c r="D42" s="17" t="s">
        <v>34</v>
      </c>
      <c r="E42" s="16"/>
      <c r="F42" s="16" t="s">
        <v>4</v>
      </c>
      <c r="G42" s="16"/>
      <c r="H42" s="16"/>
      <c r="I42" s="16"/>
      <c r="J42" s="16"/>
      <c r="K42" s="16"/>
      <c r="L42" s="16"/>
      <c r="M42" s="16"/>
      <c r="N42" s="16" t="s">
        <v>35</v>
      </c>
      <c r="O42" s="18" t="n">
        <v>46477</v>
      </c>
      <c r="P42" s="16"/>
      <c r="Q42" s="16"/>
      <c r="R42" s="17" t="n">
        <f aca="false">IF(LEN(Q42)=0,0,LEN(Q42)-LEN(SUBSTITUTE(Q42,CHAR(10),""))+1)</f>
        <v>0</v>
      </c>
      <c r="S42" s="19"/>
    </row>
    <row r="43" customFormat="false" ht="15" hidden="false" customHeight="true" outlineLevel="0" collapsed="false">
      <c r="A43" s="16" t="s">
        <v>118</v>
      </c>
      <c r="B43" s="16" t="s">
        <v>32</v>
      </c>
      <c r="C43" s="16" t="s">
        <v>119</v>
      </c>
      <c r="D43" s="17" t="s">
        <v>34</v>
      </c>
      <c r="E43" s="16"/>
      <c r="F43" s="16" t="s">
        <v>4</v>
      </c>
      <c r="G43" s="16"/>
      <c r="H43" s="16"/>
      <c r="I43" s="16"/>
      <c r="J43" s="16"/>
      <c r="K43" s="16"/>
      <c r="L43" s="16"/>
      <c r="M43" s="16"/>
      <c r="N43" s="16" t="s">
        <v>35</v>
      </c>
      <c r="O43" s="18" t="n">
        <v>46477</v>
      </c>
      <c r="P43" s="16"/>
      <c r="Q43" s="16"/>
      <c r="R43" s="17" t="n">
        <f aca="false">IF(LEN(Q43)=0,0,LEN(Q43)-LEN(SUBSTITUTE(Q43,CHAR(10),""))+1)</f>
        <v>0</v>
      </c>
      <c r="S43" s="19"/>
    </row>
    <row r="44" customFormat="false" ht="15" hidden="false" customHeight="true" outlineLevel="0" collapsed="false">
      <c r="A44" s="16" t="s">
        <v>120</v>
      </c>
      <c r="B44" s="16" t="s">
        <v>32</v>
      </c>
      <c r="C44" s="16" t="s">
        <v>121</v>
      </c>
      <c r="D44" s="17" t="s">
        <v>34</v>
      </c>
      <c r="E44" s="16"/>
      <c r="F44" s="16" t="s">
        <v>4</v>
      </c>
      <c r="G44" s="16"/>
      <c r="H44" s="16"/>
      <c r="I44" s="16"/>
      <c r="J44" s="16"/>
      <c r="K44" s="16"/>
      <c r="L44" s="16"/>
      <c r="M44" s="16"/>
      <c r="N44" s="16" t="s">
        <v>35</v>
      </c>
      <c r="O44" s="18" t="n">
        <v>46477</v>
      </c>
      <c r="P44" s="16"/>
      <c r="Q44" s="16"/>
      <c r="R44" s="17" t="n">
        <f aca="false">IF(LEN(Q44)=0,0,LEN(Q44)-LEN(SUBSTITUTE(Q44,CHAR(10),""))+1)</f>
        <v>0</v>
      </c>
      <c r="S44" s="19"/>
    </row>
    <row r="45" customFormat="false" ht="15" hidden="false" customHeight="true" outlineLevel="0" collapsed="false">
      <c r="A45" s="16" t="s">
        <v>122</v>
      </c>
      <c r="B45" s="16" t="s">
        <v>32</v>
      </c>
      <c r="C45" s="16" t="s">
        <v>123</v>
      </c>
      <c r="D45" s="17" t="s">
        <v>34</v>
      </c>
      <c r="E45" s="16"/>
      <c r="F45" s="16" t="s">
        <v>4</v>
      </c>
      <c r="G45" s="16"/>
      <c r="H45" s="16"/>
      <c r="I45" s="16"/>
      <c r="J45" s="16"/>
      <c r="K45" s="16"/>
      <c r="L45" s="16"/>
      <c r="M45" s="16"/>
      <c r="N45" s="16" t="s">
        <v>35</v>
      </c>
      <c r="O45" s="18" t="n">
        <v>46477</v>
      </c>
      <c r="P45" s="16"/>
      <c r="Q45" s="16"/>
      <c r="R45" s="17" t="n">
        <f aca="false">IF(LEN(Q45)=0,0,LEN(Q45)-LEN(SUBSTITUTE(Q45,CHAR(10),""))+1)</f>
        <v>0</v>
      </c>
      <c r="S45" s="19"/>
    </row>
    <row r="46" customFormat="false" ht="15" hidden="false" customHeight="true" outlineLevel="0" collapsed="false">
      <c r="A46" s="16" t="s">
        <v>124</v>
      </c>
      <c r="B46" s="16" t="s">
        <v>32</v>
      </c>
      <c r="C46" s="16" t="s">
        <v>125</v>
      </c>
      <c r="D46" s="17" t="s">
        <v>34</v>
      </c>
      <c r="E46" s="16"/>
      <c r="F46" s="16" t="s">
        <v>4</v>
      </c>
      <c r="G46" s="16"/>
      <c r="H46" s="16"/>
      <c r="I46" s="16"/>
      <c r="J46" s="16"/>
      <c r="K46" s="16"/>
      <c r="L46" s="16"/>
      <c r="M46" s="16"/>
      <c r="N46" s="16" t="s">
        <v>35</v>
      </c>
      <c r="O46" s="18" t="n">
        <v>46477</v>
      </c>
      <c r="P46" s="16"/>
      <c r="Q46" s="16"/>
      <c r="R46" s="17" t="n">
        <f aca="false">IF(LEN(Q46)=0,0,LEN(Q46)-LEN(SUBSTITUTE(Q46,CHAR(10),""))+1)</f>
        <v>0</v>
      </c>
      <c r="S46" s="19"/>
    </row>
    <row r="47" customFormat="false" ht="15" hidden="false" customHeight="true" outlineLevel="0" collapsed="false">
      <c r="A47" s="16" t="s">
        <v>126</v>
      </c>
      <c r="B47" s="16" t="s">
        <v>32</v>
      </c>
      <c r="C47" s="16" t="s">
        <v>127</v>
      </c>
      <c r="D47" s="17" t="s">
        <v>34</v>
      </c>
      <c r="E47" s="16"/>
      <c r="F47" s="16" t="s">
        <v>4</v>
      </c>
      <c r="G47" s="16"/>
      <c r="H47" s="16"/>
      <c r="I47" s="16"/>
      <c r="J47" s="16"/>
      <c r="K47" s="16"/>
      <c r="L47" s="16"/>
      <c r="M47" s="16"/>
      <c r="N47" s="16" t="s">
        <v>35</v>
      </c>
      <c r="O47" s="18" t="n">
        <v>46477</v>
      </c>
      <c r="P47" s="16"/>
      <c r="Q47" s="16"/>
      <c r="R47" s="17" t="n">
        <f aca="false">IF(LEN(Q47)=0,0,LEN(Q47)-LEN(SUBSTITUTE(Q47,CHAR(10),""))+1)</f>
        <v>0</v>
      </c>
      <c r="S47" s="19"/>
    </row>
    <row r="48" customFormat="false" ht="15" hidden="false" customHeight="true" outlineLevel="0" collapsed="false">
      <c r="A48" s="16" t="s">
        <v>128</v>
      </c>
      <c r="B48" s="16" t="s">
        <v>32</v>
      </c>
      <c r="C48" s="16" t="s">
        <v>129</v>
      </c>
      <c r="D48" s="17" t="s">
        <v>34</v>
      </c>
      <c r="E48" s="16"/>
      <c r="F48" s="16" t="s">
        <v>4</v>
      </c>
      <c r="G48" s="16"/>
      <c r="H48" s="16"/>
      <c r="I48" s="16"/>
      <c r="J48" s="16"/>
      <c r="K48" s="16"/>
      <c r="L48" s="16"/>
      <c r="M48" s="16"/>
      <c r="N48" s="16" t="s">
        <v>35</v>
      </c>
      <c r="O48" s="18" t="n">
        <v>46477</v>
      </c>
      <c r="P48" s="16"/>
      <c r="Q48" s="16"/>
      <c r="R48" s="17" t="n">
        <f aca="false">IF(LEN(Q48)=0,0,LEN(Q48)-LEN(SUBSTITUTE(Q48,CHAR(10),""))+1)</f>
        <v>0</v>
      </c>
      <c r="S48" s="19"/>
    </row>
    <row r="49" customFormat="false" ht="15" hidden="false" customHeight="true" outlineLevel="0" collapsed="false">
      <c r="A49" s="16" t="s">
        <v>130</v>
      </c>
      <c r="B49" s="16" t="s">
        <v>32</v>
      </c>
      <c r="C49" s="16" t="s">
        <v>131</v>
      </c>
      <c r="D49" s="17" t="s">
        <v>34</v>
      </c>
      <c r="E49" s="16"/>
      <c r="F49" s="16" t="s">
        <v>4</v>
      </c>
      <c r="G49" s="16"/>
      <c r="H49" s="16"/>
      <c r="I49" s="16"/>
      <c r="J49" s="16"/>
      <c r="K49" s="16"/>
      <c r="L49" s="16"/>
      <c r="M49" s="16"/>
      <c r="N49" s="16" t="s">
        <v>35</v>
      </c>
      <c r="O49" s="18" t="n">
        <v>46477</v>
      </c>
      <c r="P49" s="16"/>
      <c r="Q49" s="16"/>
      <c r="R49" s="17" t="n">
        <f aca="false">IF(LEN(Q49)=0,0,LEN(Q49)-LEN(SUBSTITUTE(Q49,CHAR(10),""))+1)</f>
        <v>0</v>
      </c>
      <c r="S49" s="19"/>
    </row>
    <row r="50" customFormat="false" ht="15" hidden="false" customHeight="true" outlineLevel="0" collapsed="false">
      <c r="A50" s="16" t="s">
        <v>132</v>
      </c>
      <c r="B50" s="16" t="s">
        <v>32</v>
      </c>
      <c r="C50" s="16" t="s">
        <v>133</v>
      </c>
      <c r="D50" s="17" t="s">
        <v>34</v>
      </c>
      <c r="E50" s="16"/>
      <c r="F50" s="16" t="s">
        <v>4</v>
      </c>
      <c r="G50" s="16"/>
      <c r="H50" s="16"/>
      <c r="I50" s="16"/>
      <c r="J50" s="16"/>
      <c r="K50" s="16"/>
      <c r="L50" s="16"/>
      <c r="M50" s="16"/>
      <c r="N50" s="16" t="s">
        <v>35</v>
      </c>
      <c r="O50" s="18" t="n">
        <v>46477</v>
      </c>
      <c r="P50" s="16"/>
      <c r="Q50" s="16"/>
      <c r="R50" s="17" t="n">
        <f aca="false">IF(LEN(Q50)=0,0,LEN(Q50)-LEN(SUBSTITUTE(Q50,CHAR(10),""))+1)</f>
        <v>0</v>
      </c>
      <c r="S50" s="19"/>
    </row>
    <row r="51" customFormat="false" ht="15" hidden="false" customHeight="true" outlineLevel="0" collapsed="false">
      <c r="A51" s="16" t="s">
        <v>134</v>
      </c>
      <c r="B51" s="16" t="s">
        <v>135</v>
      </c>
      <c r="C51" s="16" t="s">
        <v>136</v>
      </c>
      <c r="D51" s="17" t="s">
        <v>34</v>
      </c>
      <c r="E51" s="16"/>
      <c r="F51" s="16" t="s">
        <v>4</v>
      </c>
      <c r="G51" s="16"/>
      <c r="H51" s="16"/>
      <c r="I51" s="16"/>
      <c r="J51" s="16"/>
      <c r="K51" s="16"/>
      <c r="L51" s="16"/>
      <c r="M51" s="16"/>
      <c r="N51" s="16" t="s">
        <v>137</v>
      </c>
      <c r="O51" s="18" t="n">
        <v>46477</v>
      </c>
      <c r="P51" s="16"/>
      <c r="Q51" s="16"/>
      <c r="R51" s="17" t="n">
        <f aca="false">IF(LEN(Q51)=0,0,LEN(Q51)-LEN(SUBSTITUTE(Q51,CHAR(10),""))+1)</f>
        <v>0</v>
      </c>
      <c r="S51" s="19"/>
    </row>
    <row r="52" customFormat="false" ht="15" hidden="false" customHeight="true" outlineLevel="0" collapsed="false">
      <c r="A52" s="16" t="s">
        <v>138</v>
      </c>
      <c r="B52" s="16" t="s">
        <v>135</v>
      </c>
      <c r="C52" s="16" t="s">
        <v>139</v>
      </c>
      <c r="D52" s="17" t="s">
        <v>34</v>
      </c>
      <c r="E52" s="16"/>
      <c r="F52" s="16" t="s">
        <v>4</v>
      </c>
      <c r="G52" s="16"/>
      <c r="H52" s="16"/>
      <c r="I52" s="16"/>
      <c r="J52" s="16"/>
      <c r="K52" s="16"/>
      <c r="L52" s="16"/>
      <c r="M52" s="16"/>
      <c r="N52" s="16" t="s">
        <v>137</v>
      </c>
      <c r="O52" s="18" t="n">
        <v>46477</v>
      </c>
      <c r="P52" s="16"/>
      <c r="Q52" s="16"/>
      <c r="R52" s="17" t="n">
        <f aca="false">IF(LEN(Q52)=0,0,LEN(Q52)-LEN(SUBSTITUTE(Q52,CHAR(10),""))+1)</f>
        <v>0</v>
      </c>
      <c r="S52" s="19"/>
    </row>
    <row r="53" customFormat="false" ht="15" hidden="false" customHeight="true" outlineLevel="0" collapsed="false">
      <c r="A53" s="16" t="s">
        <v>140</v>
      </c>
      <c r="B53" s="16" t="s">
        <v>135</v>
      </c>
      <c r="C53" s="16" t="s">
        <v>141</v>
      </c>
      <c r="D53" s="17" t="s">
        <v>34</v>
      </c>
      <c r="E53" s="16"/>
      <c r="F53" s="16" t="s">
        <v>4</v>
      </c>
      <c r="G53" s="16"/>
      <c r="H53" s="16"/>
      <c r="I53" s="16"/>
      <c r="J53" s="16"/>
      <c r="K53" s="16"/>
      <c r="L53" s="16"/>
      <c r="M53" s="16"/>
      <c r="N53" s="16" t="s">
        <v>137</v>
      </c>
      <c r="O53" s="18" t="n">
        <v>46477</v>
      </c>
      <c r="P53" s="16"/>
      <c r="Q53" s="16"/>
      <c r="R53" s="17" t="n">
        <f aca="false">IF(LEN(Q53)=0,0,LEN(Q53)-LEN(SUBSTITUTE(Q53,CHAR(10),""))+1)</f>
        <v>0</v>
      </c>
      <c r="S53" s="19"/>
    </row>
    <row r="54" customFormat="false" ht="15" hidden="false" customHeight="true" outlineLevel="0" collapsed="false">
      <c r="A54" s="16" t="s">
        <v>142</v>
      </c>
      <c r="B54" s="16" t="s">
        <v>135</v>
      </c>
      <c r="C54" s="16" t="s">
        <v>143</v>
      </c>
      <c r="D54" s="17" t="s">
        <v>34</v>
      </c>
      <c r="E54" s="16"/>
      <c r="F54" s="16" t="s">
        <v>4</v>
      </c>
      <c r="G54" s="16"/>
      <c r="H54" s="16"/>
      <c r="I54" s="16"/>
      <c r="J54" s="16"/>
      <c r="K54" s="16"/>
      <c r="L54" s="16"/>
      <c r="M54" s="16"/>
      <c r="N54" s="16" t="s">
        <v>137</v>
      </c>
      <c r="O54" s="18" t="n">
        <v>46477</v>
      </c>
      <c r="P54" s="16"/>
      <c r="Q54" s="16"/>
      <c r="R54" s="17" t="n">
        <f aca="false">IF(LEN(Q54)=0,0,LEN(Q54)-LEN(SUBSTITUTE(Q54,CHAR(10),""))+1)</f>
        <v>0</v>
      </c>
      <c r="S54" s="19"/>
    </row>
    <row r="55" customFormat="false" ht="15" hidden="false" customHeight="true" outlineLevel="0" collapsed="false">
      <c r="A55" s="16" t="s">
        <v>144</v>
      </c>
      <c r="B55" s="16" t="s">
        <v>135</v>
      </c>
      <c r="C55" s="16" t="s">
        <v>145</v>
      </c>
      <c r="D55" s="17" t="s">
        <v>34</v>
      </c>
      <c r="E55" s="16"/>
      <c r="F55" s="16" t="s">
        <v>4</v>
      </c>
      <c r="G55" s="16"/>
      <c r="H55" s="16"/>
      <c r="I55" s="16"/>
      <c r="J55" s="16"/>
      <c r="K55" s="16"/>
      <c r="L55" s="16"/>
      <c r="M55" s="16"/>
      <c r="N55" s="16" t="s">
        <v>137</v>
      </c>
      <c r="O55" s="18" t="n">
        <v>46477</v>
      </c>
      <c r="P55" s="16"/>
      <c r="Q55" s="16"/>
      <c r="R55" s="17" t="n">
        <f aca="false">IF(LEN(Q55)=0,0,LEN(Q55)-LEN(SUBSTITUTE(Q55,CHAR(10),""))+1)</f>
        <v>0</v>
      </c>
      <c r="S55" s="19"/>
    </row>
    <row r="56" customFormat="false" ht="15" hidden="false" customHeight="true" outlineLevel="0" collapsed="false">
      <c r="A56" s="16" t="s">
        <v>146</v>
      </c>
      <c r="B56" s="16" t="s">
        <v>135</v>
      </c>
      <c r="C56" s="16" t="s">
        <v>147</v>
      </c>
      <c r="D56" s="17" t="s">
        <v>34</v>
      </c>
      <c r="E56" s="16"/>
      <c r="F56" s="16" t="s">
        <v>4</v>
      </c>
      <c r="G56" s="16"/>
      <c r="H56" s="16"/>
      <c r="I56" s="16"/>
      <c r="J56" s="16"/>
      <c r="K56" s="16"/>
      <c r="L56" s="16"/>
      <c r="M56" s="16"/>
      <c r="N56" s="16" t="s">
        <v>137</v>
      </c>
      <c r="O56" s="18" t="n">
        <v>46477</v>
      </c>
      <c r="P56" s="16"/>
      <c r="Q56" s="16"/>
      <c r="R56" s="17" t="n">
        <f aca="false">IF(LEN(Q56)=0,0,LEN(Q56)-LEN(SUBSTITUTE(Q56,CHAR(10),""))+1)</f>
        <v>0</v>
      </c>
      <c r="S56" s="19"/>
    </row>
    <row r="57" customFormat="false" ht="15" hidden="false" customHeight="true" outlineLevel="0" collapsed="false">
      <c r="A57" s="16" t="s">
        <v>148</v>
      </c>
      <c r="B57" s="16" t="s">
        <v>135</v>
      </c>
      <c r="C57" s="16" t="s">
        <v>149</v>
      </c>
      <c r="D57" s="17" t="s">
        <v>34</v>
      </c>
      <c r="E57" s="16"/>
      <c r="F57" s="16" t="s">
        <v>4</v>
      </c>
      <c r="G57" s="16"/>
      <c r="H57" s="16"/>
      <c r="I57" s="16"/>
      <c r="J57" s="16"/>
      <c r="K57" s="16"/>
      <c r="L57" s="16"/>
      <c r="M57" s="16"/>
      <c r="N57" s="16" t="s">
        <v>137</v>
      </c>
      <c r="O57" s="18" t="n">
        <v>46477</v>
      </c>
      <c r="P57" s="16"/>
      <c r="Q57" s="16"/>
      <c r="R57" s="17" t="n">
        <f aca="false">IF(LEN(Q57)=0,0,LEN(Q57)-LEN(SUBSTITUTE(Q57,CHAR(10),""))+1)</f>
        <v>0</v>
      </c>
      <c r="S57" s="19"/>
    </row>
    <row r="58" customFormat="false" ht="15" hidden="false" customHeight="true" outlineLevel="0" collapsed="false">
      <c r="A58" s="16" t="s">
        <v>150</v>
      </c>
      <c r="B58" s="16" t="s">
        <v>135</v>
      </c>
      <c r="C58" s="16" t="s">
        <v>151</v>
      </c>
      <c r="D58" s="17" t="s">
        <v>34</v>
      </c>
      <c r="E58" s="16"/>
      <c r="F58" s="16" t="s">
        <v>4</v>
      </c>
      <c r="G58" s="16"/>
      <c r="H58" s="16"/>
      <c r="I58" s="16"/>
      <c r="J58" s="16"/>
      <c r="K58" s="16"/>
      <c r="L58" s="16"/>
      <c r="M58" s="16"/>
      <c r="N58" s="16" t="s">
        <v>137</v>
      </c>
      <c r="O58" s="18" t="n">
        <v>46477</v>
      </c>
      <c r="P58" s="16"/>
      <c r="Q58" s="16"/>
      <c r="R58" s="17" t="n">
        <f aca="false">IF(LEN(Q58)=0,0,LEN(Q58)-LEN(SUBSTITUTE(Q58,CHAR(10),""))+1)</f>
        <v>0</v>
      </c>
      <c r="S58" s="19"/>
    </row>
    <row r="59" customFormat="false" ht="15" hidden="false" customHeight="true" outlineLevel="0" collapsed="false">
      <c r="A59" s="16" t="s">
        <v>152</v>
      </c>
      <c r="B59" s="16" t="s">
        <v>153</v>
      </c>
      <c r="C59" s="16" t="s">
        <v>154</v>
      </c>
      <c r="D59" s="17" t="s">
        <v>34</v>
      </c>
      <c r="E59" s="16"/>
      <c r="F59" s="16" t="s">
        <v>4</v>
      </c>
      <c r="G59" s="16"/>
      <c r="H59" s="16"/>
      <c r="I59" s="16"/>
      <c r="J59" s="16"/>
      <c r="K59" s="16"/>
      <c r="L59" s="16"/>
      <c r="M59" s="16"/>
      <c r="N59" s="16" t="s">
        <v>155</v>
      </c>
      <c r="O59" s="18" t="n">
        <v>46477</v>
      </c>
      <c r="P59" s="16"/>
      <c r="Q59" s="16"/>
      <c r="R59" s="17" t="n">
        <f aca="false">IF(LEN(Q59)=0,0,LEN(Q59)-LEN(SUBSTITUTE(Q59,CHAR(10),""))+1)</f>
        <v>0</v>
      </c>
      <c r="S59" s="19"/>
    </row>
    <row r="60" customFormat="false" ht="15" hidden="false" customHeight="true" outlineLevel="0" collapsed="false">
      <c r="A60" s="16" t="s">
        <v>156</v>
      </c>
      <c r="B60" s="16" t="s">
        <v>153</v>
      </c>
      <c r="C60" s="16" t="s">
        <v>157</v>
      </c>
      <c r="D60" s="17" t="s">
        <v>34</v>
      </c>
      <c r="E60" s="16"/>
      <c r="F60" s="16" t="s">
        <v>4</v>
      </c>
      <c r="G60" s="16"/>
      <c r="H60" s="16"/>
      <c r="I60" s="16"/>
      <c r="J60" s="16"/>
      <c r="K60" s="16"/>
      <c r="L60" s="16"/>
      <c r="M60" s="16"/>
      <c r="N60" s="16" t="s">
        <v>155</v>
      </c>
      <c r="O60" s="18" t="n">
        <v>46477</v>
      </c>
      <c r="P60" s="16"/>
      <c r="Q60" s="16"/>
      <c r="R60" s="17" t="n">
        <f aca="false">IF(LEN(Q60)=0,0,LEN(Q60)-LEN(SUBSTITUTE(Q60,CHAR(10),""))+1)</f>
        <v>0</v>
      </c>
      <c r="S60" s="19"/>
    </row>
    <row r="61" customFormat="false" ht="15" hidden="false" customHeight="true" outlineLevel="0" collapsed="false">
      <c r="A61" s="16" t="s">
        <v>158</v>
      </c>
      <c r="B61" s="16" t="s">
        <v>153</v>
      </c>
      <c r="C61" s="16" t="s">
        <v>159</v>
      </c>
      <c r="D61" s="17" t="s">
        <v>34</v>
      </c>
      <c r="E61" s="16"/>
      <c r="F61" s="16" t="s">
        <v>4</v>
      </c>
      <c r="G61" s="16"/>
      <c r="H61" s="16"/>
      <c r="I61" s="16"/>
      <c r="J61" s="16"/>
      <c r="K61" s="16"/>
      <c r="L61" s="16"/>
      <c r="M61" s="16"/>
      <c r="N61" s="16" t="s">
        <v>155</v>
      </c>
      <c r="O61" s="18" t="n">
        <v>46477</v>
      </c>
      <c r="P61" s="16"/>
      <c r="Q61" s="16"/>
      <c r="R61" s="17" t="n">
        <f aca="false">IF(LEN(Q61)=0,0,LEN(Q61)-LEN(SUBSTITUTE(Q61,CHAR(10),""))+1)</f>
        <v>0</v>
      </c>
      <c r="S61" s="19"/>
    </row>
    <row r="62" customFormat="false" ht="15" hidden="false" customHeight="true" outlineLevel="0" collapsed="false">
      <c r="A62" s="16" t="s">
        <v>160</v>
      </c>
      <c r="B62" s="16" t="s">
        <v>153</v>
      </c>
      <c r="C62" s="16" t="s">
        <v>161</v>
      </c>
      <c r="D62" s="17" t="s">
        <v>34</v>
      </c>
      <c r="E62" s="16"/>
      <c r="F62" s="16" t="s">
        <v>4</v>
      </c>
      <c r="G62" s="16"/>
      <c r="H62" s="16"/>
      <c r="I62" s="16"/>
      <c r="J62" s="16"/>
      <c r="K62" s="16"/>
      <c r="L62" s="16"/>
      <c r="M62" s="16"/>
      <c r="N62" s="16" t="s">
        <v>155</v>
      </c>
      <c r="O62" s="18" t="n">
        <v>46477</v>
      </c>
      <c r="P62" s="16"/>
      <c r="Q62" s="16"/>
      <c r="R62" s="17" t="n">
        <f aca="false">IF(LEN(Q62)=0,0,LEN(Q62)-LEN(SUBSTITUTE(Q62,CHAR(10),""))+1)</f>
        <v>0</v>
      </c>
      <c r="S62" s="19"/>
    </row>
    <row r="63" customFormat="false" ht="15" hidden="false" customHeight="true" outlineLevel="0" collapsed="false">
      <c r="A63" s="16" t="s">
        <v>162</v>
      </c>
      <c r="B63" s="16" t="s">
        <v>153</v>
      </c>
      <c r="C63" s="16" t="s">
        <v>163</v>
      </c>
      <c r="D63" s="17" t="s">
        <v>34</v>
      </c>
      <c r="E63" s="16"/>
      <c r="F63" s="16" t="s">
        <v>4</v>
      </c>
      <c r="G63" s="16"/>
      <c r="H63" s="16"/>
      <c r="I63" s="16"/>
      <c r="J63" s="16"/>
      <c r="K63" s="16"/>
      <c r="L63" s="16"/>
      <c r="M63" s="16"/>
      <c r="N63" s="16" t="s">
        <v>155</v>
      </c>
      <c r="O63" s="18" t="n">
        <v>46477</v>
      </c>
      <c r="P63" s="16"/>
      <c r="Q63" s="16"/>
      <c r="R63" s="17" t="n">
        <f aca="false">IF(LEN(Q63)=0,0,LEN(Q63)-LEN(SUBSTITUTE(Q63,CHAR(10),""))+1)</f>
        <v>0</v>
      </c>
      <c r="S63" s="19"/>
    </row>
    <row r="64" customFormat="false" ht="45.75" hidden="false" customHeight="true" outlineLevel="0" collapsed="false">
      <c r="A64" s="16" t="s">
        <v>164</v>
      </c>
      <c r="B64" s="16" t="s">
        <v>153</v>
      </c>
      <c r="C64" s="16" t="s">
        <v>165</v>
      </c>
      <c r="D64" s="17" t="s">
        <v>166</v>
      </c>
      <c r="E64" s="16" t="s">
        <v>167</v>
      </c>
      <c r="F64" s="16" t="s">
        <v>6</v>
      </c>
      <c r="G64" s="16"/>
      <c r="H64" s="16"/>
      <c r="I64" s="16"/>
      <c r="J64" s="16"/>
      <c r="K64" s="16"/>
      <c r="L64" s="16"/>
      <c r="M64" s="16"/>
      <c r="N64" s="16"/>
      <c r="O64" s="18"/>
      <c r="P64" s="16"/>
      <c r="Q64" s="16"/>
      <c r="R64" s="17" t="n">
        <f aca="false">IF(LEN(Q64)=0,0,LEN(Q64)-LEN(SUBSTITUTE(Q64,CHAR(10),""))+1)</f>
        <v>0</v>
      </c>
      <c r="S64" s="19"/>
    </row>
    <row r="65" customFormat="false" ht="15" hidden="false" customHeight="true" outlineLevel="0" collapsed="false">
      <c r="A65" s="16" t="s">
        <v>168</v>
      </c>
      <c r="B65" s="16" t="s">
        <v>153</v>
      </c>
      <c r="C65" s="16" t="s">
        <v>169</v>
      </c>
      <c r="D65" s="17" t="s">
        <v>34</v>
      </c>
      <c r="E65" s="16"/>
      <c r="F65" s="16" t="s">
        <v>4</v>
      </c>
      <c r="G65" s="16"/>
      <c r="H65" s="16"/>
      <c r="I65" s="16"/>
      <c r="J65" s="16"/>
      <c r="K65" s="16"/>
      <c r="L65" s="16"/>
      <c r="M65" s="16"/>
      <c r="N65" s="16" t="s">
        <v>155</v>
      </c>
      <c r="O65" s="18" t="n">
        <v>46477</v>
      </c>
      <c r="P65" s="16"/>
      <c r="Q65" s="16"/>
      <c r="R65" s="17" t="n">
        <f aca="false">IF(LEN(Q65)=0,0,LEN(Q65)-LEN(SUBSTITUTE(Q65,CHAR(10),""))+1)</f>
        <v>0</v>
      </c>
      <c r="S65" s="19"/>
    </row>
    <row r="66" customFormat="false" ht="15" hidden="false" customHeight="true" outlineLevel="0" collapsed="false">
      <c r="A66" s="16" t="s">
        <v>170</v>
      </c>
      <c r="B66" s="16" t="s">
        <v>153</v>
      </c>
      <c r="C66" s="16" t="s">
        <v>171</v>
      </c>
      <c r="D66" s="17" t="s">
        <v>34</v>
      </c>
      <c r="E66" s="16"/>
      <c r="F66" s="16" t="s">
        <v>4</v>
      </c>
      <c r="G66" s="16"/>
      <c r="H66" s="16"/>
      <c r="I66" s="16"/>
      <c r="J66" s="16"/>
      <c r="K66" s="16"/>
      <c r="L66" s="16"/>
      <c r="M66" s="16"/>
      <c r="N66" s="16" t="s">
        <v>155</v>
      </c>
      <c r="O66" s="18" t="n">
        <v>46477</v>
      </c>
      <c r="P66" s="16"/>
      <c r="Q66" s="16"/>
      <c r="R66" s="17" t="n">
        <f aca="false">IF(LEN(Q66)=0,0,LEN(Q66)-LEN(SUBSTITUTE(Q66,CHAR(10),""))+1)</f>
        <v>0</v>
      </c>
      <c r="S66" s="19"/>
    </row>
    <row r="67" customFormat="false" ht="15" hidden="false" customHeight="true" outlineLevel="0" collapsed="false">
      <c r="A67" s="16" t="s">
        <v>172</v>
      </c>
      <c r="B67" s="16" t="s">
        <v>153</v>
      </c>
      <c r="C67" s="16" t="s">
        <v>173</v>
      </c>
      <c r="D67" s="17" t="s">
        <v>34</v>
      </c>
      <c r="E67" s="16"/>
      <c r="F67" s="16" t="s">
        <v>4</v>
      </c>
      <c r="G67" s="16"/>
      <c r="H67" s="16"/>
      <c r="I67" s="16"/>
      <c r="J67" s="16"/>
      <c r="K67" s="16"/>
      <c r="L67" s="16"/>
      <c r="M67" s="16"/>
      <c r="N67" s="16" t="s">
        <v>155</v>
      </c>
      <c r="O67" s="18" t="n">
        <v>46477</v>
      </c>
      <c r="P67" s="16"/>
      <c r="Q67" s="16"/>
      <c r="R67" s="17" t="n">
        <f aca="false">IF(LEN(Q67)=0,0,LEN(Q67)-LEN(SUBSTITUTE(Q67,CHAR(10),""))+1)</f>
        <v>0</v>
      </c>
      <c r="S67" s="19"/>
    </row>
    <row r="68" customFormat="false" ht="15" hidden="false" customHeight="true" outlineLevel="0" collapsed="false">
      <c r="A68" s="16" t="s">
        <v>174</v>
      </c>
      <c r="B68" s="16" t="s">
        <v>153</v>
      </c>
      <c r="C68" s="16" t="s">
        <v>175</v>
      </c>
      <c r="D68" s="17" t="s">
        <v>34</v>
      </c>
      <c r="E68" s="16"/>
      <c r="F68" s="16" t="s">
        <v>4</v>
      </c>
      <c r="G68" s="16"/>
      <c r="H68" s="16"/>
      <c r="I68" s="16"/>
      <c r="J68" s="16"/>
      <c r="K68" s="16"/>
      <c r="L68" s="16"/>
      <c r="M68" s="16"/>
      <c r="N68" s="16" t="s">
        <v>155</v>
      </c>
      <c r="O68" s="18" t="n">
        <v>46477</v>
      </c>
      <c r="P68" s="16"/>
      <c r="Q68" s="16"/>
      <c r="R68" s="17" t="n">
        <f aca="false">IF(LEN(Q68)=0,0,LEN(Q68)-LEN(SUBSTITUTE(Q68,CHAR(10),""))+1)</f>
        <v>0</v>
      </c>
      <c r="S68" s="19"/>
    </row>
    <row r="69" customFormat="false" ht="15" hidden="false" customHeight="true" outlineLevel="0" collapsed="false">
      <c r="A69" s="16" t="s">
        <v>176</v>
      </c>
      <c r="B69" s="16" t="s">
        <v>153</v>
      </c>
      <c r="C69" s="16" t="s">
        <v>177</v>
      </c>
      <c r="D69" s="17" t="s">
        <v>34</v>
      </c>
      <c r="E69" s="16"/>
      <c r="F69" s="16" t="s">
        <v>4</v>
      </c>
      <c r="G69" s="16"/>
      <c r="H69" s="16"/>
      <c r="I69" s="16"/>
      <c r="J69" s="16"/>
      <c r="K69" s="16"/>
      <c r="L69" s="16"/>
      <c r="M69" s="16"/>
      <c r="N69" s="16" t="s">
        <v>155</v>
      </c>
      <c r="O69" s="18" t="n">
        <v>46477</v>
      </c>
      <c r="P69" s="16"/>
      <c r="Q69" s="16"/>
      <c r="R69" s="17" t="n">
        <f aca="false">IF(LEN(Q69)=0,0,LEN(Q69)-LEN(SUBSTITUTE(Q69,CHAR(10),""))+1)</f>
        <v>0</v>
      </c>
      <c r="S69" s="19"/>
    </row>
    <row r="70" customFormat="false" ht="15" hidden="false" customHeight="true" outlineLevel="0" collapsed="false">
      <c r="A70" s="16" t="s">
        <v>178</v>
      </c>
      <c r="B70" s="16" t="s">
        <v>153</v>
      </c>
      <c r="C70" s="16" t="s">
        <v>179</v>
      </c>
      <c r="D70" s="17" t="s">
        <v>34</v>
      </c>
      <c r="E70" s="16"/>
      <c r="F70" s="16" t="s">
        <v>4</v>
      </c>
      <c r="G70" s="16"/>
      <c r="H70" s="16"/>
      <c r="I70" s="16"/>
      <c r="J70" s="16"/>
      <c r="K70" s="16"/>
      <c r="L70" s="16"/>
      <c r="M70" s="16"/>
      <c r="N70" s="16" t="s">
        <v>155</v>
      </c>
      <c r="O70" s="18" t="n">
        <v>46477</v>
      </c>
      <c r="P70" s="16"/>
      <c r="Q70" s="16"/>
      <c r="R70" s="17" t="n">
        <f aca="false">IF(LEN(Q70)=0,0,LEN(Q70)-LEN(SUBSTITUTE(Q70,CHAR(10),""))+1)</f>
        <v>0</v>
      </c>
      <c r="S70" s="19"/>
    </row>
    <row r="71" customFormat="false" ht="15" hidden="false" customHeight="true" outlineLevel="0" collapsed="false">
      <c r="A71" s="16" t="s">
        <v>180</v>
      </c>
      <c r="B71" s="16" t="s">
        <v>153</v>
      </c>
      <c r="C71" s="16" t="s">
        <v>181</v>
      </c>
      <c r="D71" s="17" t="s">
        <v>34</v>
      </c>
      <c r="E71" s="16"/>
      <c r="F71" s="16" t="s">
        <v>4</v>
      </c>
      <c r="G71" s="16"/>
      <c r="H71" s="16"/>
      <c r="I71" s="16"/>
      <c r="J71" s="16"/>
      <c r="K71" s="16"/>
      <c r="L71" s="16"/>
      <c r="M71" s="16"/>
      <c r="N71" s="16" t="s">
        <v>155</v>
      </c>
      <c r="O71" s="18" t="n">
        <v>46477</v>
      </c>
      <c r="P71" s="16"/>
      <c r="Q71" s="16"/>
      <c r="R71" s="17" t="n">
        <f aca="false">IF(LEN(Q71)=0,0,LEN(Q71)-LEN(SUBSTITUTE(Q71,CHAR(10),""))+1)</f>
        <v>0</v>
      </c>
      <c r="S71" s="19"/>
    </row>
    <row r="72" customFormat="false" ht="15" hidden="false" customHeight="true" outlineLevel="0" collapsed="false">
      <c r="A72" s="16" t="s">
        <v>182</v>
      </c>
      <c r="B72" s="16" t="s">
        <v>153</v>
      </c>
      <c r="C72" s="16" t="s">
        <v>183</v>
      </c>
      <c r="D72" s="17" t="s">
        <v>34</v>
      </c>
      <c r="E72" s="16"/>
      <c r="F72" s="16" t="s">
        <v>4</v>
      </c>
      <c r="G72" s="16"/>
      <c r="H72" s="16"/>
      <c r="I72" s="16"/>
      <c r="J72" s="16"/>
      <c r="K72" s="16"/>
      <c r="L72" s="16"/>
      <c r="M72" s="16"/>
      <c r="N72" s="16" t="s">
        <v>155</v>
      </c>
      <c r="O72" s="18" t="n">
        <v>46477</v>
      </c>
      <c r="P72" s="16"/>
      <c r="Q72" s="16"/>
      <c r="R72" s="17" t="n">
        <f aca="false">IF(LEN(Q72)=0,0,LEN(Q72)-LEN(SUBSTITUTE(Q72,CHAR(10),""))+1)</f>
        <v>0</v>
      </c>
      <c r="S72" s="19"/>
    </row>
    <row r="73" customFormat="false" ht="15" hidden="false" customHeight="true" outlineLevel="0" collapsed="false">
      <c r="A73" s="16" t="s">
        <v>184</v>
      </c>
      <c r="B73" s="16" t="s">
        <v>185</v>
      </c>
      <c r="C73" s="16" t="s">
        <v>186</v>
      </c>
      <c r="D73" s="17" t="s">
        <v>34</v>
      </c>
      <c r="E73" s="16"/>
      <c r="F73" s="16" t="s">
        <v>4</v>
      </c>
      <c r="G73" s="16"/>
      <c r="H73" s="16"/>
      <c r="I73" s="16"/>
      <c r="J73" s="16"/>
      <c r="K73" s="16"/>
      <c r="L73" s="16"/>
      <c r="M73" s="16"/>
      <c r="N73" s="16" t="s">
        <v>187</v>
      </c>
      <c r="O73" s="18" t="n">
        <v>46477</v>
      </c>
      <c r="P73" s="16"/>
      <c r="Q73" s="16"/>
      <c r="R73" s="17" t="n">
        <f aca="false">IF(LEN(Q73)=0,0,LEN(Q73)-LEN(SUBSTITUTE(Q73,CHAR(10),""))+1)</f>
        <v>0</v>
      </c>
      <c r="S73" s="19"/>
    </row>
    <row r="74" customFormat="false" ht="34.5" hidden="false" customHeight="true" outlineLevel="0" collapsed="false">
      <c r="A74" s="16" t="s">
        <v>188</v>
      </c>
      <c r="B74" s="16" t="s">
        <v>185</v>
      </c>
      <c r="C74" s="16" t="s">
        <v>189</v>
      </c>
      <c r="D74" s="17" t="s">
        <v>34</v>
      </c>
      <c r="E74" s="16"/>
      <c r="F74" s="16" t="s">
        <v>5</v>
      </c>
      <c r="G74" s="16" t="s">
        <v>190</v>
      </c>
      <c r="H74" s="16" t="s">
        <v>191</v>
      </c>
      <c r="I74" s="16"/>
      <c r="J74" s="16" t="s">
        <v>192</v>
      </c>
      <c r="K74" s="16" t="s">
        <v>193</v>
      </c>
      <c r="L74" s="16" t="s">
        <v>194</v>
      </c>
      <c r="M74" s="16" t="s">
        <v>77</v>
      </c>
      <c r="N74" s="16" t="s">
        <v>187</v>
      </c>
      <c r="O74" s="18" t="n">
        <v>46477</v>
      </c>
      <c r="P74" s="16" t="s">
        <v>195</v>
      </c>
      <c r="Q74" s="16" t="s">
        <v>196</v>
      </c>
      <c r="R74" s="17" t="n">
        <f aca="false">IF(LEN(Q74)=0,0,LEN(Q74)-LEN(SUBSTITUTE(Q74,CHAR(10),""))+1)</f>
        <v>3</v>
      </c>
      <c r="S74" s="19" t="n">
        <v>46322.5549884259</v>
      </c>
    </row>
    <row r="75" customFormat="false" ht="23.25" hidden="false" customHeight="true" outlineLevel="0" collapsed="false">
      <c r="A75" s="16" t="s">
        <v>197</v>
      </c>
      <c r="B75" s="16" t="s">
        <v>185</v>
      </c>
      <c r="C75" s="16" t="s">
        <v>198</v>
      </c>
      <c r="D75" s="17" t="s">
        <v>34</v>
      </c>
      <c r="E75" s="16"/>
      <c r="F75" s="16" t="s">
        <v>5</v>
      </c>
      <c r="G75" s="16" t="s">
        <v>199</v>
      </c>
      <c r="H75" s="16" t="s">
        <v>199</v>
      </c>
      <c r="I75" s="16"/>
      <c r="J75" s="16"/>
      <c r="K75" s="16" t="s">
        <v>200</v>
      </c>
      <c r="L75" s="16" t="s">
        <v>201</v>
      </c>
      <c r="M75" s="16" t="s">
        <v>77</v>
      </c>
      <c r="N75" s="16" t="s">
        <v>187</v>
      </c>
      <c r="O75" s="18" t="n">
        <v>46477</v>
      </c>
      <c r="P75" s="16" t="s">
        <v>202</v>
      </c>
      <c r="Q75" s="16" t="s">
        <v>203</v>
      </c>
      <c r="R75" s="17" t="n">
        <f aca="false">IF(LEN(Q75)=0,0,LEN(Q75)-LEN(SUBSTITUTE(Q75,CHAR(10),""))+1)</f>
        <v>1</v>
      </c>
      <c r="S75" s="19" t="n">
        <v>46322.5549884259</v>
      </c>
    </row>
    <row r="76" customFormat="false" ht="15" hidden="false" customHeight="true" outlineLevel="0" collapsed="false">
      <c r="A76" s="16" t="s">
        <v>204</v>
      </c>
      <c r="B76" s="16" t="s">
        <v>185</v>
      </c>
      <c r="C76" s="16" t="s">
        <v>205</v>
      </c>
      <c r="D76" s="17" t="s">
        <v>34</v>
      </c>
      <c r="E76" s="16"/>
      <c r="F76" s="16" t="s">
        <v>4</v>
      </c>
      <c r="G76" s="16"/>
      <c r="H76" s="16"/>
      <c r="I76" s="16"/>
      <c r="J76" s="16"/>
      <c r="K76" s="16"/>
      <c r="L76" s="16"/>
      <c r="M76" s="16"/>
      <c r="N76" s="16" t="s">
        <v>187</v>
      </c>
      <c r="O76" s="18" t="n">
        <v>46477</v>
      </c>
      <c r="P76" s="16"/>
      <c r="Q76" s="16"/>
      <c r="R76" s="17" t="n">
        <f aca="false">IF(LEN(Q76)=0,0,LEN(Q76)-LEN(SUBSTITUTE(Q76,CHAR(10),""))+1)</f>
        <v>0</v>
      </c>
      <c r="S76" s="19"/>
    </row>
    <row r="77" customFormat="false" ht="23.25" hidden="false" customHeight="true" outlineLevel="0" collapsed="false">
      <c r="A77" s="16" t="s">
        <v>206</v>
      </c>
      <c r="B77" s="16" t="s">
        <v>185</v>
      </c>
      <c r="C77" s="16" t="s">
        <v>207</v>
      </c>
      <c r="D77" s="17" t="s">
        <v>34</v>
      </c>
      <c r="E77" s="16"/>
      <c r="F77" s="16" t="s">
        <v>5</v>
      </c>
      <c r="G77" s="16" t="s">
        <v>208</v>
      </c>
      <c r="H77" s="16" t="s">
        <v>208</v>
      </c>
      <c r="I77" s="16"/>
      <c r="J77" s="16"/>
      <c r="K77" s="16" t="s">
        <v>209</v>
      </c>
      <c r="L77" s="16" t="s">
        <v>76</v>
      </c>
      <c r="M77" s="16" t="s">
        <v>77</v>
      </c>
      <c r="N77" s="16" t="s">
        <v>187</v>
      </c>
      <c r="O77" s="18" t="n">
        <v>46477</v>
      </c>
      <c r="P77" s="16" t="s">
        <v>210</v>
      </c>
      <c r="Q77" s="16" t="s">
        <v>211</v>
      </c>
      <c r="R77" s="17" t="n">
        <f aca="false">IF(LEN(Q77)=0,0,LEN(Q77)-LEN(SUBSTITUTE(Q77,CHAR(10),""))+1)</f>
        <v>1</v>
      </c>
      <c r="S77" s="19" t="n">
        <v>46322.5549884259</v>
      </c>
    </row>
    <row r="78" customFormat="false" ht="15" hidden="false" customHeight="true" outlineLevel="0" collapsed="false">
      <c r="A78" s="16" t="s">
        <v>212</v>
      </c>
      <c r="B78" s="16" t="s">
        <v>185</v>
      </c>
      <c r="C78" s="16" t="s">
        <v>213</v>
      </c>
      <c r="D78" s="17" t="s">
        <v>34</v>
      </c>
      <c r="E78" s="16"/>
      <c r="F78" s="16" t="s">
        <v>4</v>
      </c>
      <c r="G78" s="16"/>
      <c r="H78" s="16"/>
      <c r="I78" s="16"/>
      <c r="J78" s="16"/>
      <c r="K78" s="16"/>
      <c r="L78" s="16"/>
      <c r="M78" s="16"/>
      <c r="N78" s="16" t="s">
        <v>187</v>
      </c>
      <c r="O78" s="18" t="n">
        <v>46477</v>
      </c>
      <c r="P78" s="16"/>
      <c r="Q78" s="16"/>
      <c r="R78" s="17" t="n">
        <f aca="false">IF(LEN(Q78)=0,0,LEN(Q78)-LEN(SUBSTITUTE(Q78,CHAR(10),""))+1)</f>
        <v>0</v>
      </c>
      <c r="S78" s="19"/>
    </row>
    <row r="79" customFormat="false" ht="15" hidden="false" customHeight="true" outlineLevel="0" collapsed="false">
      <c r="A79" s="16" t="s">
        <v>214</v>
      </c>
      <c r="B79" s="16" t="s">
        <v>185</v>
      </c>
      <c r="C79" s="16" t="s">
        <v>215</v>
      </c>
      <c r="D79" s="17" t="s">
        <v>34</v>
      </c>
      <c r="E79" s="16"/>
      <c r="F79" s="16" t="s">
        <v>4</v>
      </c>
      <c r="G79" s="16"/>
      <c r="H79" s="16"/>
      <c r="I79" s="16"/>
      <c r="J79" s="16"/>
      <c r="K79" s="16"/>
      <c r="L79" s="16"/>
      <c r="M79" s="16"/>
      <c r="N79" s="16" t="s">
        <v>187</v>
      </c>
      <c r="O79" s="18" t="n">
        <v>46477</v>
      </c>
      <c r="P79" s="16"/>
      <c r="Q79" s="16"/>
      <c r="R79" s="17" t="n">
        <f aca="false">IF(LEN(Q79)=0,0,LEN(Q79)-LEN(SUBSTITUTE(Q79,CHAR(10),""))+1)</f>
        <v>0</v>
      </c>
      <c r="S79" s="19"/>
    </row>
    <row r="80" customFormat="false" ht="15" hidden="false" customHeight="true" outlineLevel="0" collapsed="false">
      <c r="A80" s="16" t="s">
        <v>216</v>
      </c>
      <c r="B80" s="16" t="s">
        <v>185</v>
      </c>
      <c r="C80" s="16" t="s">
        <v>217</v>
      </c>
      <c r="D80" s="17" t="s">
        <v>34</v>
      </c>
      <c r="E80" s="16"/>
      <c r="F80" s="16" t="s">
        <v>4</v>
      </c>
      <c r="G80" s="16"/>
      <c r="H80" s="16"/>
      <c r="I80" s="16"/>
      <c r="J80" s="16"/>
      <c r="K80" s="16"/>
      <c r="L80" s="16"/>
      <c r="M80" s="16"/>
      <c r="N80" s="16" t="s">
        <v>187</v>
      </c>
      <c r="O80" s="18" t="n">
        <v>46477</v>
      </c>
      <c r="P80" s="16"/>
      <c r="Q80" s="16"/>
      <c r="R80" s="17" t="n">
        <f aca="false">IF(LEN(Q80)=0,0,LEN(Q80)-LEN(SUBSTITUTE(Q80,CHAR(10),""))+1)</f>
        <v>0</v>
      </c>
      <c r="S80" s="19"/>
    </row>
    <row r="81" customFormat="false" ht="45.75" hidden="false" customHeight="true" outlineLevel="0" collapsed="false">
      <c r="A81" s="16" t="s">
        <v>218</v>
      </c>
      <c r="B81" s="16" t="s">
        <v>185</v>
      </c>
      <c r="C81" s="16" t="s">
        <v>219</v>
      </c>
      <c r="D81" s="17" t="s">
        <v>34</v>
      </c>
      <c r="E81" s="16"/>
      <c r="F81" s="16" t="s">
        <v>5</v>
      </c>
      <c r="G81" s="16" t="s">
        <v>220</v>
      </c>
      <c r="H81" s="16" t="s">
        <v>220</v>
      </c>
      <c r="I81" s="16"/>
      <c r="J81" s="16"/>
      <c r="K81" s="16" t="s">
        <v>221</v>
      </c>
      <c r="L81" s="16" t="s">
        <v>222</v>
      </c>
      <c r="M81" s="16" t="s">
        <v>77</v>
      </c>
      <c r="N81" s="16" t="s">
        <v>187</v>
      </c>
      <c r="O81" s="18" t="n">
        <v>46477</v>
      </c>
      <c r="P81" s="16" t="s">
        <v>223</v>
      </c>
      <c r="Q81" s="16" t="s">
        <v>224</v>
      </c>
      <c r="R81" s="17" t="n">
        <f aca="false">IF(LEN(Q81)=0,0,LEN(Q81)-LEN(SUBSTITUTE(Q81,CHAR(10),""))+1)</f>
        <v>4</v>
      </c>
      <c r="S81" s="19" t="n">
        <v>46322.5549884259</v>
      </c>
    </row>
    <row r="82" customFormat="false" ht="15" hidden="false" customHeight="true" outlineLevel="0" collapsed="false">
      <c r="A82" s="16" t="s">
        <v>225</v>
      </c>
      <c r="B82" s="16" t="s">
        <v>185</v>
      </c>
      <c r="C82" s="16" t="s">
        <v>226</v>
      </c>
      <c r="D82" s="17" t="s">
        <v>34</v>
      </c>
      <c r="E82" s="16"/>
      <c r="F82" s="16" t="s">
        <v>4</v>
      </c>
      <c r="G82" s="16"/>
      <c r="H82" s="16"/>
      <c r="I82" s="16"/>
      <c r="J82" s="16"/>
      <c r="K82" s="16"/>
      <c r="L82" s="16"/>
      <c r="M82" s="16"/>
      <c r="N82" s="16" t="s">
        <v>187</v>
      </c>
      <c r="O82" s="18" t="n">
        <v>46477</v>
      </c>
      <c r="P82" s="16"/>
      <c r="Q82" s="16"/>
      <c r="R82" s="17" t="n">
        <f aca="false">IF(LEN(Q82)=0,0,LEN(Q82)-LEN(SUBSTITUTE(Q82,CHAR(10),""))+1)</f>
        <v>0</v>
      </c>
      <c r="S82" s="19"/>
    </row>
    <row r="83" customFormat="false" ht="15" hidden="false" customHeight="true" outlineLevel="0" collapsed="false">
      <c r="A83" s="16" t="s">
        <v>227</v>
      </c>
      <c r="B83" s="16" t="s">
        <v>185</v>
      </c>
      <c r="C83" s="16" t="s">
        <v>228</v>
      </c>
      <c r="D83" s="17" t="s">
        <v>34</v>
      </c>
      <c r="E83" s="16"/>
      <c r="F83" s="16" t="s">
        <v>4</v>
      </c>
      <c r="G83" s="16"/>
      <c r="H83" s="16"/>
      <c r="I83" s="16"/>
      <c r="J83" s="16"/>
      <c r="K83" s="16"/>
      <c r="L83" s="16"/>
      <c r="M83" s="16"/>
      <c r="N83" s="16" t="s">
        <v>187</v>
      </c>
      <c r="O83" s="18" t="n">
        <v>46477</v>
      </c>
      <c r="P83" s="16"/>
      <c r="Q83" s="16"/>
      <c r="R83" s="17" t="n">
        <f aca="false">IF(LEN(Q83)=0,0,LEN(Q83)-LEN(SUBSTITUTE(Q83,CHAR(10),""))+1)</f>
        <v>0</v>
      </c>
      <c r="S83" s="19"/>
    </row>
    <row r="84" customFormat="false" ht="15" hidden="false" customHeight="true" outlineLevel="0" collapsed="false">
      <c r="A84" s="16" t="s">
        <v>229</v>
      </c>
      <c r="B84" s="16" t="s">
        <v>185</v>
      </c>
      <c r="C84" s="16" t="s">
        <v>230</v>
      </c>
      <c r="D84" s="17" t="s">
        <v>34</v>
      </c>
      <c r="E84" s="16"/>
      <c r="F84" s="16" t="s">
        <v>4</v>
      </c>
      <c r="G84" s="16"/>
      <c r="H84" s="16"/>
      <c r="I84" s="16"/>
      <c r="J84" s="16"/>
      <c r="K84" s="16"/>
      <c r="L84" s="16"/>
      <c r="M84" s="16"/>
      <c r="N84" s="16" t="s">
        <v>187</v>
      </c>
      <c r="O84" s="18" t="n">
        <v>46477</v>
      </c>
      <c r="P84" s="16"/>
      <c r="Q84" s="16"/>
      <c r="R84" s="17" t="n">
        <f aca="false">IF(LEN(Q84)=0,0,LEN(Q84)-LEN(SUBSTITUTE(Q84,CHAR(10),""))+1)</f>
        <v>0</v>
      </c>
      <c r="S84" s="19"/>
    </row>
    <row r="85" customFormat="false" ht="45.75" hidden="false" customHeight="true" outlineLevel="0" collapsed="false">
      <c r="A85" s="16" t="s">
        <v>231</v>
      </c>
      <c r="B85" s="16" t="s">
        <v>185</v>
      </c>
      <c r="C85" s="16" t="s">
        <v>232</v>
      </c>
      <c r="D85" s="17" t="s">
        <v>34</v>
      </c>
      <c r="E85" s="16"/>
      <c r="F85" s="16" t="s">
        <v>5</v>
      </c>
      <c r="G85" s="16" t="s">
        <v>233</v>
      </c>
      <c r="H85" s="16" t="s">
        <v>233</v>
      </c>
      <c r="I85" s="16"/>
      <c r="J85" s="16"/>
      <c r="K85" s="16" t="s">
        <v>234</v>
      </c>
      <c r="L85" s="16" t="s">
        <v>235</v>
      </c>
      <c r="M85" s="16" t="s">
        <v>236</v>
      </c>
      <c r="N85" s="16" t="s">
        <v>187</v>
      </c>
      <c r="O85" s="18" t="n">
        <v>46477</v>
      </c>
      <c r="P85" s="16" t="s">
        <v>237</v>
      </c>
      <c r="Q85" s="16" t="s">
        <v>238</v>
      </c>
      <c r="R85" s="17" t="n">
        <f aca="false">IF(LEN(Q85)=0,0,LEN(Q85)-LEN(SUBSTITUTE(Q85,CHAR(10),""))+1)</f>
        <v>4</v>
      </c>
      <c r="S85" s="19" t="n">
        <v>46322.5549884259</v>
      </c>
    </row>
    <row r="86" customFormat="false" ht="23.25" hidden="false" customHeight="true" outlineLevel="0" collapsed="false">
      <c r="A86" s="16" t="s">
        <v>239</v>
      </c>
      <c r="B86" s="16" t="s">
        <v>185</v>
      </c>
      <c r="C86" s="16" t="s">
        <v>240</v>
      </c>
      <c r="D86" s="17" t="s">
        <v>34</v>
      </c>
      <c r="E86" s="16"/>
      <c r="F86" s="16" t="s">
        <v>5</v>
      </c>
      <c r="G86" s="16" t="s">
        <v>241</v>
      </c>
      <c r="H86" s="16" t="s">
        <v>241</v>
      </c>
      <c r="I86" s="16"/>
      <c r="J86" s="16"/>
      <c r="K86" s="16" t="s">
        <v>242</v>
      </c>
      <c r="L86" s="16" t="s">
        <v>243</v>
      </c>
      <c r="M86" s="16" t="s">
        <v>236</v>
      </c>
      <c r="N86" s="16" t="s">
        <v>187</v>
      </c>
      <c r="O86" s="18" t="n">
        <v>46477</v>
      </c>
      <c r="P86" s="16" t="s">
        <v>244</v>
      </c>
      <c r="Q86" s="16" t="s">
        <v>245</v>
      </c>
      <c r="R86" s="17" t="n">
        <f aca="false">IF(LEN(Q86)=0,0,LEN(Q86)-LEN(SUBSTITUTE(Q86,CHAR(10),""))+1)</f>
        <v>1</v>
      </c>
      <c r="S86" s="19" t="n">
        <v>46322.5549884259</v>
      </c>
    </row>
    <row r="87" customFormat="false" ht="57" hidden="false" customHeight="true" outlineLevel="0" collapsed="false">
      <c r="A87" s="16" t="s">
        <v>246</v>
      </c>
      <c r="B87" s="16" t="s">
        <v>185</v>
      </c>
      <c r="C87" s="16" t="s">
        <v>247</v>
      </c>
      <c r="D87" s="17" t="s">
        <v>34</v>
      </c>
      <c r="E87" s="16"/>
      <c r="F87" s="16" t="s">
        <v>5</v>
      </c>
      <c r="G87" s="16" t="s">
        <v>248</v>
      </c>
      <c r="H87" s="16" t="s">
        <v>248</v>
      </c>
      <c r="I87" s="16"/>
      <c r="J87" s="16"/>
      <c r="K87" s="16" t="s">
        <v>249</v>
      </c>
      <c r="L87" s="16" t="s">
        <v>250</v>
      </c>
      <c r="M87" s="16" t="s">
        <v>113</v>
      </c>
      <c r="N87" s="16" t="s">
        <v>187</v>
      </c>
      <c r="O87" s="18" t="n">
        <v>46477</v>
      </c>
      <c r="P87" s="16" t="s">
        <v>251</v>
      </c>
      <c r="Q87" s="16" t="s">
        <v>252</v>
      </c>
      <c r="R87" s="17" t="n">
        <f aca="false">IF(LEN(Q87)=0,0,LEN(Q87)-LEN(SUBSTITUTE(Q87,CHAR(10),""))+1)</f>
        <v>5</v>
      </c>
      <c r="S87" s="19" t="n">
        <v>46322.5549884259</v>
      </c>
    </row>
    <row r="88" customFormat="false" ht="23.25" hidden="false" customHeight="true" outlineLevel="0" collapsed="false">
      <c r="A88" s="16" t="s">
        <v>253</v>
      </c>
      <c r="B88" s="16" t="s">
        <v>185</v>
      </c>
      <c r="C88" s="16" t="s">
        <v>254</v>
      </c>
      <c r="D88" s="17" t="s">
        <v>34</v>
      </c>
      <c r="E88" s="16"/>
      <c r="F88" s="16" t="s">
        <v>5</v>
      </c>
      <c r="G88" s="16" t="s">
        <v>255</v>
      </c>
      <c r="H88" s="16" t="s">
        <v>255</v>
      </c>
      <c r="I88" s="16"/>
      <c r="J88" s="16"/>
      <c r="K88" s="16" t="s">
        <v>256</v>
      </c>
      <c r="L88" s="16" t="s">
        <v>257</v>
      </c>
      <c r="M88" s="16" t="s">
        <v>113</v>
      </c>
      <c r="N88" s="16" t="s">
        <v>187</v>
      </c>
      <c r="O88" s="18" t="n">
        <v>46477</v>
      </c>
      <c r="P88" s="16" t="s">
        <v>258</v>
      </c>
      <c r="Q88" s="16" t="s">
        <v>259</v>
      </c>
      <c r="R88" s="17" t="n">
        <f aca="false">IF(LEN(Q88)=0,0,LEN(Q88)-LEN(SUBSTITUTE(Q88,CHAR(10),""))+1)</f>
        <v>1</v>
      </c>
      <c r="S88" s="19" t="n">
        <v>46322.5549884259</v>
      </c>
    </row>
    <row r="89" customFormat="false" ht="15" hidden="false" customHeight="true" outlineLevel="0" collapsed="false">
      <c r="A89" s="16" t="s">
        <v>260</v>
      </c>
      <c r="B89" s="16" t="s">
        <v>185</v>
      </c>
      <c r="C89" s="16" t="s">
        <v>261</v>
      </c>
      <c r="D89" s="17" t="s">
        <v>34</v>
      </c>
      <c r="E89" s="16"/>
      <c r="F89" s="16" t="s">
        <v>4</v>
      </c>
      <c r="G89" s="16"/>
      <c r="H89" s="16"/>
      <c r="I89" s="16"/>
      <c r="J89" s="16"/>
      <c r="K89" s="16"/>
      <c r="L89" s="16"/>
      <c r="M89" s="16"/>
      <c r="N89" s="16" t="s">
        <v>187</v>
      </c>
      <c r="O89" s="18" t="n">
        <v>46477</v>
      </c>
      <c r="P89" s="16"/>
      <c r="Q89" s="16"/>
      <c r="R89" s="17" t="n">
        <f aca="false">IF(LEN(Q89)=0,0,LEN(Q89)-LEN(SUBSTITUTE(Q89,CHAR(10),""))+1)</f>
        <v>0</v>
      </c>
      <c r="S89" s="19"/>
    </row>
    <row r="90" customFormat="false" ht="15" hidden="false" customHeight="true" outlineLevel="0" collapsed="false">
      <c r="A90" s="16" t="s">
        <v>262</v>
      </c>
      <c r="B90" s="16" t="s">
        <v>185</v>
      </c>
      <c r="C90" s="16" t="s">
        <v>263</v>
      </c>
      <c r="D90" s="17" t="s">
        <v>34</v>
      </c>
      <c r="E90" s="16"/>
      <c r="F90" s="16" t="s">
        <v>4</v>
      </c>
      <c r="G90" s="16"/>
      <c r="H90" s="16"/>
      <c r="I90" s="16"/>
      <c r="J90" s="16"/>
      <c r="K90" s="16"/>
      <c r="L90" s="16"/>
      <c r="M90" s="16"/>
      <c r="N90" s="16" t="s">
        <v>187</v>
      </c>
      <c r="O90" s="18" t="n">
        <v>46477</v>
      </c>
      <c r="P90" s="16"/>
      <c r="Q90" s="16"/>
      <c r="R90" s="17" t="n">
        <f aca="false">IF(LEN(Q90)=0,0,LEN(Q90)-LEN(SUBSTITUTE(Q90,CHAR(10),""))+1)</f>
        <v>0</v>
      </c>
      <c r="S90" s="19"/>
    </row>
    <row r="91" customFormat="false" ht="15" hidden="false" customHeight="true" outlineLevel="0" collapsed="false">
      <c r="A91" s="16" t="s">
        <v>264</v>
      </c>
      <c r="B91" s="16" t="s">
        <v>185</v>
      </c>
      <c r="C91" s="16" t="s">
        <v>265</v>
      </c>
      <c r="D91" s="17" t="s">
        <v>34</v>
      </c>
      <c r="E91" s="16"/>
      <c r="F91" s="16" t="s">
        <v>4</v>
      </c>
      <c r="G91" s="16"/>
      <c r="H91" s="16"/>
      <c r="I91" s="16"/>
      <c r="J91" s="16"/>
      <c r="K91" s="16"/>
      <c r="L91" s="16"/>
      <c r="M91" s="16"/>
      <c r="N91" s="16" t="s">
        <v>187</v>
      </c>
      <c r="O91" s="18" t="n">
        <v>46477</v>
      </c>
      <c r="P91" s="16"/>
      <c r="Q91" s="16"/>
      <c r="R91" s="17" t="n">
        <f aca="false">IF(LEN(Q91)=0,0,LEN(Q91)-LEN(SUBSTITUTE(Q91,CHAR(10),""))+1)</f>
        <v>0</v>
      </c>
      <c r="S91" s="19"/>
    </row>
    <row r="92" customFormat="false" ht="68.25" hidden="false" customHeight="true" outlineLevel="0" collapsed="false">
      <c r="A92" s="16" t="s">
        <v>266</v>
      </c>
      <c r="B92" s="16" t="s">
        <v>185</v>
      </c>
      <c r="C92" s="16" t="s">
        <v>267</v>
      </c>
      <c r="D92" s="17" t="s">
        <v>34</v>
      </c>
      <c r="E92" s="16"/>
      <c r="F92" s="16" t="s">
        <v>5</v>
      </c>
      <c r="G92" s="16" t="s">
        <v>268</v>
      </c>
      <c r="H92" s="16" t="s">
        <v>268</v>
      </c>
      <c r="I92" s="16"/>
      <c r="J92" s="16"/>
      <c r="K92" s="16" t="s">
        <v>269</v>
      </c>
      <c r="L92" s="16" t="s">
        <v>270</v>
      </c>
      <c r="M92" s="16" t="s">
        <v>77</v>
      </c>
      <c r="N92" s="16" t="s">
        <v>187</v>
      </c>
      <c r="O92" s="18" t="n">
        <v>46477</v>
      </c>
      <c r="P92" s="16" t="s">
        <v>271</v>
      </c>
      <c r="Q92" s="16" t="s">
        <v>272</v>
      </c>
      <c r="R92" s="17" t="n">
        <f aca="false">IF(LEN(Q92)=0,0,LEN(Q92)-LEN(SUBSTITUTE(Q92,CHAR(10),""))+1)</f>
        <v>6</v>
      </c>
      <c r="S92" s="19" t="n">
        <v>46322.5549884259</v>
      </c>
    </row>
    <row r="93" customFormat="false" ht="15" hidden="false" customHeight="true" outlineLevel="0" collapsed="false">
      <c r="A93" s="16" t="s">
        <v>273</v>
      </c>
      <c r="B93" s="16" t="s">
        <v>185</v>
      </c>
      <c r="C93" s="16" t="s">
        <v>274</v>
      </c>
      <c r="D93" s="17" t="s">
        <v>34</v>
      </c>
      <c r="E93" s="16"/>
      <c r="F93" s="16" t="s">
        <v>4</v>
      </c>
      <c r="G93" s="16"/>
      <c r="H93" s="16"/>
      <c r="I93" s="16"/>
      <c r="J93" s="16"/>
      <c r="K93" s="16"/>
      <c r="L93" s="16"/>
      <c r="M93" s="16"/>
      <c r="N93" s="16" t="s">
        <v>187</v>
      </c>
      <c r="O93" s="18" t="n">
        <v>46477</v>
      </c>
      <c r="P93" s="16"/>
      <c r="Q93" s="16"/>
      <c r="R93" s="17" t="n">
        <f aca="false">IF(LEN(Q93)=0,0,LEN(Q93)-LEN(SUBSTITUTE(Q93,CHAR(10),""))+1)</f>
        <v>0</v>
      </c>
      <c r="S93" s="19"/>
    </row>
    <row r="94" customFormat="false" ht="15" hidden="false" customHeight="true" outlineLevel="0" collapsed="false">
      <c r="A94" s="16" t="s">
        <v>275</v>
      </c>
      <c r="B94" s="16" t="s">
        <v>185</v>
      </c>
      <c r="C94" s="16" t="s">
        <v>276</v>
      </c>
      <c r="D94" s="17" t="s">
        <v>34</v>
      </c>
      <c r="E94" s="16"/>
      <c r="F94" s="16" t="s">
        <v>4</v>
      </c>
      <c r="G94" s="16"/>
      <c r="H94" s="16"/>
      <c r="I94" s="16"/>
      <c r="J94" s="16"/>
      <c r="K94" s="16"/>
      <c r="L94" s="16"/>
      <c r="M94" s="16"/>
      <c r="N94" s="16" t="s">
        <v>187</v>
      </c>
      <c r="O94" s="18" t="n">
        <v>46477</v>
      </c>
      <c r="P94" s="16"/>
      <c r="Q94" s="16"/>
      <c r="R94" s="17" t="n">
        <f aca="false">IF(LEN(Q94)=0,0,LEN(Q94)-LEN(SUBSTITUTE(Q94,CHAR(10),""))+1)</f>
        <v>0</v>
      </c>
      <c r="S94" s="19"/>
    </row>
    <row r="95" customFormat="false" ht="15" hidden="false" customHeight="true" outlineLevel="0" collapsed="false">
      <c r="A95" s="16" t="s">
        <v>277</v>
      </c>
      <c r="B95" s="16" t="s">
        <v>185</v>
      </c>
      <c r="C95" s="16" t="s">
        <v>278</v>
      </c>
      <c r="D95" s="17" t="s">
        <v>34</v>
      </c>
      <c r="E95" s="16"/>
      <c r="F95" s="16" t="s">
        <v>4</v>
      </c>
      <c r="G95" s="16"/>
      <c r="H95" s="16"/>
      <c r="I95" s="16"/>
      <c r="J95" s="16"/>
      <c r="K95" s="16"/>
      <c r="L95" s="16"/>
      <c r="M95" s="16"/>
      <c r="N95" s="16" t="s">
        <v>187</v>
      </c>
      <c r="O95" s="18" t="n">
        <v>46477</v>
      </c>
      <c r="P95" s="16"/>
      <c r="Q95" s="16"/>
      <c r="R95" s="17" t="n">
        <f aca="false">IF(LEN(Q95)=0,0,LEN(Q95)-LEN(SUBSTITUTE(Q95,CHAR(10),""))+1)</f>
        <v>0</v>
      </c>
      <c r="S95" s="19"/>
    </row>
    <row r="96" customFormat="false" ht="68.25" hidden="false" customHeight="true" outlineLevel="0" collapsed="false">
      <c r="A96" s="16" t="s">
        <v>279</v>
      </c>
      <c r="B96" s="16" t="s">
        <v>185</v>
      </c>
      <c r="C96" s="16" t="s">
        <v>280</v>
      </c>
      <c r="D96" s="17" t="s">
        <v>34</v>
      </c>
      <c r="E96" s="16"/>
      <c r="F96" s="16" t="s">
        <v>5</v>
      </c>
      <c r="G96" s="16" t="s">
        <v>281</v>
      </c>
      <c r="H96" s="16" t="s">
        <v>281</v>
      </c>
      <c r="I96" s="16"/>
      <c r="J96" s="16"/>
      <c r="K96" s="16" t="s">
        <v>282</v>
      </c>
      <c r="L96" s="16" t="s">
        <v>222</v>
      </c>
      <c r="M96" s="16" t="s">
        <v>77</v>
      </c>
      <c r="N96" s="16" t="s">
        <v>187</v>
      </c>
      <c r="O96" s="18" t="n">
        <v>46477</v>
      </c>
      <c r="P96" s="16" t="s">
        <v>283</v>
      </c>
      <c r="Q96" s="16" t="s">
        <v>284</v>
      </c>
      <c r="R96" s="17" t="n">
        <f aca="false">IF(LEN(Q96)=0,0,LEN(Q96)-LEN(SUBSTITUTE(Q96,CHAR(10),""))+1)</f>
        <v>6</v>
      </c>
      <c r="S96" s="19" t="n">
        <v>46322.5549884259</v>
      </c>
    </row>
    <row r="97" customFormat="false" ht="15" hidden="false" customHeight="true" outlineLevel="0" collapsed="false">
      <c r="A97" s="16" t="s">
        <v>285</v>
      </c>
      <c r="B97" s="16" t="s">
        <v>185</v>
      </c>
      <c r="C97" s="16" t="s">
        <v>286</v>
      </c>
      <c r="D97" s="17" t="s">
        <v>34</v>
      </c>
      <c r="E97" s="16"/>
      <c r="F97" s="16" t="s">
        <v>4</v>
      </c>
      <c r="G97" s="16"/>
      <c r="H97" s="16"/>
      <c r="I97" s="16"/>
      <c r="J97" s="16"/>
      <c r="K97" s="16"/>
      <c r="L97" s="16"/>
      <c r="M97" s="16"/>
      <c r="N97" s="16" t="s">
        <v>187</v>
      </c>
      <c r="O97" s="18" t="n">
        <v>46477</v>
      </c>
      <c r="P97" s="16"/>
      <c r="Q97" s="16"/>
      <c r="R97" s="17" t="n">
        <f aca="false">IF(LEN(Q97)=0,0,LEN(Q97)-LEN(SUBSTITUTE(Q97,CHAR(10),""))+1)</f>
        <v>0</v>
      </c>
      <c r="S97" s="19"/>
    </row>
    <row r="98" customFormat="false" ht="15" hidden="false" customHeight="true" outlineLevel="0" collapsed="false">
      <c r="A98" s="16" t="s">
        <v>287</v>
      </c>
      <c r="B98" s="16" t="s">
        <v>185</v>
      </c>
      <c r="C98" s="16" t="s">
        <v>288</v>
      </c>
      <c r="D98" s="17" t="s">
        <v>34</v>
      </c>
      <c r="E98" s="16"/>
      <c r="F98" s="16" t="s">
        <v>4</v>
      </c>
      <c r="G98" s="16"/>
      <c r="H98" s="16"/>
      <c r="I98" s="16"/>
      <c r="J98" s="16"/>
      <c r="K98" s="16"/>
      <c r="L98" s="16"/>
      <c r="M98" s="16"/>
      <c r="N98" s="16" t="s">
        <v>187</v>
      </c>
      <c r="O98" s="18" t="n">
        <v>46477</v>
      </c>
      <c r="P98" s="16"/>
      <c r="Q98" s="16"/>
      <c r="R98" s="17" t="n">
        <f aca="false">IF(LEN(Q98)=0,0,LEN(Q98)-LEN(SUBSTITUTE(Q98,CHAR(10),""))+1)</f>
        <v>0</v>
      </c>
      <c r="S98" s="19"/>
    </row>
    <row r="99" customFormat="false" ht="15" hidden="false" customHeight="true" outlineLevel="0" collapsed="false">
      <c r="A99" s="16" t="s">
        <v>289</v>
      </c>
      <c r="B99" s="16" t="s">
        <v>185</v>
      </c>
      <c r="C99" s="16" t="s">
        <v>290</v>
      </c>
      <c r="D99" s="17" t="s">
        <v>34</v>
      </c>
      <c r="E99" s="16"/>
      <c r="F99" s="16" t="s">
        <v>4</v>
      </c>
      <c r="G99" s="16"/>
      <c r="H99" s="16"/>
      <c r="I99" s="16"/>
      <c r="J99" s="16"/>
      <c r="K99" s="16"/>
      <c r="L99" s="16"/>
      <c r="M99" s="16"/>
      <c r="N99" s="16" t="s">
        <v>187</v>
      </c>
      <c r="O99" s="18" t="n">
        <v>46477</v>
      </c>
      <c r="P99" s="16"/>
      <c r="Q99" s="16"/>
      <c r="R99" s="17" t="n">
        <f aca="false">IF(LEN(Q99)=0,0,LEN(Q99)-LEN(SUBSTITUTE(Q99,CHAR(10),""))+1)</f>
        <v>0</v>
      </c>
      <c r="S99" s="19"/>
    </row>
    <row r="100" customFormat="false" ht="15" hidden="false" customHeight="true" outlineLevel="0" collapsed="false">
      <c r="A100" s="16" t="s">
        <v>291</v>
      </c>
      <c r="B100" s="16" t="s">
        <v>185</v>
      </c>
      <c r="C100" s="16" t="s">
        <v>292</v>
      </c>
      <c r="D100" s="17" t="s">
        <v>34</v>
      </c>
      <c r="E100" s="16"/>
      <c r="F100" s="16" t="s">
        <v>4</v>
      </c>
      <c r="G100" s="16"/>
      <c r="H100" s="16"/>
      <c r="I100" s="16"/>
      <c r="J100" s="16"/>
      <c r="K100" s="16"/>
      <c r="L100" s="16"/>
      <c r="M100" s="16"/>
      <c r="N100" s="16" t="s">
        <v>187</v>
      </c>
      <c r="O100" s="18" t="n">
        <v>46477</v>
      </c>
      <c r="P100" s="16"/>
      <c r="Q100" s="16"/>
      <c r="R100" s="17" t="n">
        <f aca="false">IF(LEN(Q100)=0,0,LEN(Q100)-LEN(SUBSTITUTE(Q100,CHAR(10),""))+1)</f>
        <v>0</v>
      </c>
      <c r="S100" s="19"/>
    </row>
    <row r="101" customFormat="false" ht="15" hidden="false" customHeight="true" outlineLevel="0" collapsed="false">
      <c r="A101" s="16" t="s">
        <v>293</v>
      </c>
      <c r="B101" s="16" t="s">
        <v>185</v>
      </c>
      <c r="C101" s="16" t="s">
        <v>294</v>
      </c>
      <c r="D101" s="17" t="s">
        <v>34</v>
      </c>
      <c r="E101" s="16"/>
      <c r="F101" s="16" t="s">
        <v>4</v>
      </c>
      <c r="G101" s="16"/>
      <c r="H101" s="16"/>
      <c r="I101" s="16"/>
      <c r="J101" s="16"/>
      <c r="K101" s="16"/>
      <c r="L101" s="16"/>
      <c r="M101" s="16"/>
      <c r="N101" s="16" t="s">
        <v>187</v>
      </c>
      <c r="O101" s="18" t="n">
        <v>46477</v>
      </c>
      <c r="P101" s="16"/>
      <c r="Q101" s="16"/>
      <c r="R101" s="17" t="n">
        <f aca="false">IF(LEN(Q101)=0,0,LEN(Q101)-LEN(SUBSTITUTE(Q101,CHAR(10),""))+1)</f>
        <v>0</v>
      </c>
      <c r="S101" s="19"/>
    </row>
    <row r="102" customFormat="false" ht="45.75" hidden="false" customHeight="true" outlineLevel="0" collapsed="false">
      <c r="A102" s="16" t="s">
        <v>295</v>
      </c>
      <c r="B102" s="16" t="s">
        <v>185</v>
      </c>
      <c r="C102" s="16" t="s">
        <v>296</v>
      </c>
      <c r="D102" s="17" t="s">
        <v>166</v>
      </c>
      <c r="E102" s="16" t="s">
        <v>297</v>
      </c>
      <c r="F102" s="16" t="s">
        <v>6</v>
      </c>
      <c r="G102" s="16"/>
      <c r="H102" s="16"/>
      <c r="I102" s="16"/>
      <c r="J102" s="16"/>
      <c r="K102" s="16"/>
      <c r="L102" s="16"/>
      <c r="M102" s="16"/>
      <c r="N102" s="16"/>
      <c r="O102" s="18"/>
      <c r="P102" s="16"/>
      <c r="Q102" s="16"/>
      <c r="R102" s="17" t="n">
        <f aca="false">IF(LEN(Q102)=0,0,LEN(Q102)-LEN(SUBSTITUTE(Q102,CHAR(10),""))+1)</f>
        <v>0</v>
      </c>
      <c r="S102" s="19"/>
    </row>
    <row r="103" customFormat="false" ht="15" hidden="false" customHeight="true" outlineLevel="0" collapsed="false">
      <c r="A103" s="16" t="s">
        <v>298</v>
      </c>
      <c r="B103" s="16" t="s">
        <v>185</v>
      </c>
      <c r="C103" s="16" t="s">
        <v>299</v>
      </c>
      <c r="D103" s="17" t="s">
        <v>34</v>
      </c>
      <c r="E103" s="16"/>
      <c r="F103" s="16" t="s">
        <v>4</v>
      </c>
      <c r="G103" s="16"/>
      <c r="H103" s="16"/>
      <c r="I103" s="16"/>
      <c r="J103" s="16"/>
      <c r="K103" s="16"/>
      <c r="L103" s="16"/>
      <c r="M103" s="16"/>
      <c r="N103" s="16" t="s">
        <v>187</v>
      </c>
      <c r="O103" s="18" t="n">
        <v>46477</v>
      </c>
      <c r="P103" s="16"/>
      <c r="Q103" s="16"/>
      <c r="R103" s="17" t="n">
        <f aca="false">IF(LEN(Q103)=0,0,LEN(Q103)-LEN(SUBSTITUTE(Q103,CHAR(10),""))+1)</f>
        <v>0</v>
      </c>
      <c r="S103" s="19"/>
    </row>
    <row r="104" customFormat="false" ht="15" hidden="false" customHeight="true" outlineLevel="0" collapsed="false">
      <c r="A104" s="16" t="s">
        <v>300</v>
      </c>
      <c r="B104" s="16" t="s">
        <v>185</v>
      </c>
      <c r="C104" s="16" t="s">
        <v>301</v>
      </c>
      <c r="D104" s="17" t="s">
        <v>34</v>
      </c>
      <c r="E104" s="16"/>
      <c r="F104" s="16" t="s">
        <v>4</v>
      </c>
      <c r="G104" s="16"/>
      <c r="H104" s="16"/>
      <c r="I104" s="16"/>
      <c r="J104" s="16"/>
      <c r="K104" s="16"/>
      <c r="L104" s="16"/>
      <c r="M104" s="16"/>
      <c r="N104" s="16" t="s">
        <v>187</v>
      </c>
      <c r="O104" s="18" t="n">
        <v>46477</v>
      </c>
      <c r="P104" s="16"/>
      <c r="Q104" s="16"/>
      <c r="R104" s="17" t="n">
        <f aca="false">IF(LEN(Q104)=0,0,LEN(Q104)-LEN(SUBSTITUTE(Q104,CHAR(10),""))+1)</f>
        <v>0</v>
      </c>
      <c r="S104" s="19"/>
    </row>
    <row r="105" customFormat="false" ht="15" hidden="false" customHeight="true" outlineLevel="0" collapsed="false">
      <c r="A105" s="16" t="s">
        <v>302</v>
      </c>
      <c r="B105" s="16" t="s">
        <v>185</v>
      </c>
      <c r="C105" s="16" t="s">
        <v>303</v>
      </c>
      <c r="D105" s="17" t="s">
        <v>34</v>
      </c>
      <c r="E105" s="16"/>
      <c r="F105" s="16" t="s">
        <v>4</v>
      </c>
      <c r="G105" s="16"/>
      <c r="H105" s="16"/>
      <c r="I105" s="16"/>
      <c r="J105" s="16"/>
      <c r="K105" s="16"/>
      <c r="L105" s="16"/>
      <c r="M105" s="16"/>
      <c r="N105" s="16" t="s">
        <v>187</v>
      </c>
      <c r="O105" s="18" t="n">
        <v>46477</v>
      </c>
      <c r="P105" s="16"/>
      <c r="Q105" s="16"/>
      <c r="R105" s="17" t="n">
        <f aca="false">IF(LEN(Q105)=0,0,LEN(Q105)-LEN(SUBSTITUTE(Q105,CHAR(10),""))+1)</f>
        <v>0</v>
      </c>
      <c r="S105" s="19"/>
    </row>
    <row r="106" customFormat="false" ht="15" hidden="false" customHeight="true" outlineLevel="0" collapsed="false">
      <c r="A106" s="16" t="s">
        <v>304</v>
      </c>
      <c r="B106" s="16" t="s">
        <v>185</v>
      </c>
      <c r="C106" s="16" t="s">
        <v>305</v>
      </c>
      <c r="D106" s="17" t="s">
        <v>34</v>
      </c>
      <c r="E106" s="16"/>
      <c r="F106" s="16" t="s">
        <v>4</v>
      </c>
      <c r="G106" s="16"/>
      <c r="H106" s="16"/>
      <c r="I106" s="16"/>
      <c r="J106" s="16"/>
      <c r="K106" s="16"/>
      <c r="L106" s="16"/>
      <c r="M106" s="16"/>
      <c r="N106" s="16" t="s">
        <v>187</v>
      </c>
      <c r="O106" s="18" t="n">
        <v>46477</v>
      </c>
      <c r="P106" s="16"/>
      <c r="Q106" s="16"/>
      <c r="R106" s="17" t="n">
        <f aca="false">IF(LEN(Q106)=0,0,LEN(Q106)-LEN(SUBSTITUTE(Q106,CHAR(10),""))+1)</f>
        <v>0</v>
      </c>
      <c r="S106" s="19"/>
    </row>
  </sheetData>
  <autoFilter ref="A13:S106"/>
  <mergeCells count="9">
    <mergeCell ref="A4:B4"/>
    <mergeCell ref="A5:B5"/>
    <mergeCell ref="A6:B6"/>
    <mergeCell ref="A7:B7"/>
    <mergeCell ref="A8:B8"/>
    <mergeCell ref="A9:B9"/>
    <mergeCell ref="A10:B10"/>
    <mergeCell ref="A11:B11"/>
    <mergeCell ref="A12:B12"/>
  </mergeCells>
  <conditionalFormatting sqref="F14:F106">
    <cfRule type="cellIs" priority="2" operator="equal" aboveAverage="0" equalAverage="0" bottom="0" percent="0" rank="0" text="" dxfId="7">
      <formula>"manual"</formula>
    </cfRule>
    <cfRule type="cellIs" priority="3" operator="equal" aboveAverage="0" equalAverage="0" bottom="0" percent="0" rank="0" text="" dxfId="8">
      <formula>"partial"</formula>
    </cfRule>
    <cfRule type="cellIs" priority="4" operator="equal" aboveAverage="0" equalAverage="0" bottom="0" percent="0" rank="0" text="" dxfId="9">
      <formula>"automated-pass"</formula>
    </cfRule>
    <cfRule type="cellIs" priority="5" operator="equal" aboveAverage="0" equalAverage="0" bottom="0" percent="0" rank="0" text="" dxfId="10">
      <formula>"automated-fail"</formula>
    </cfRule>
    <cfRule type="cellIs" priority="6" operator="equal" aboveAverage="0" equalAverage="0" bottom="0" percent="0" rank="0" text="" dxfId="11">
      <formula>"not-applicable"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0"/>
    <col collapsed="false" customWidth="true" hidden="false" outlineLevel="0" max="3" min="3" style="1" width="44"/>
    <col collapsed="false" customWidth="true" hidden="false" outlineLevel="0" max="4" min="4" style="1" width="18"/>
    <col collapsed="false" customWidth="true" hidden="false" outlineLevel="0" max="5" min="5" style="1" width="9"/>
    <col collapsed="false" customWidth="true" hidden="false" outlineLevel="0" max="6" min="6" style="1" width="18"/>
    <col collapsed="false" customWidth="true" hidden="false" outlineLevel="0" max="7" min="7" style="1" width="24"/>
    <col collapsed="false" customWidth="true" hidden="false" outlineLevel="0" max="9" min="8" style="1" width="10"/>
  </cols>
  <sheetData>
    <row r="1" customFormat="false" ht="17.25" hidden="false" customHeight="true" outlineLevel="0" collapsed="false">
      <c r="A1" s="2" t="s">
        <v>306</v>
      </c>
    </row>
    <row r="2" customFormat="false" ht="15" hidden="false" customHeight="true" outlineLevel="0" collapsed="false">
      <c r="A2" s="3" t="s">
        <v>307</v>
      </c>
    </row>
    <row r="3" customFormat="false" ht="30" hidden="false" customHeight="true" outlineLevel="0" collapsed="false">
      <c r="A3" s="15" t="s">
        <v>308</v>
      </c>
      <c r="B3" s="15" t="s">
        <v>309</v>
      </c>
      <c r="C3" s="15" t="s">
        <v>310</v>
      </c>
      <c r="D3" s="15" t="s">
        <v>311</v>
      </c>
      <c r="E3" s="15" t="s">
        <v>312</v>
      </c>
      <c r="F3" s="15" t="s">
        <v>313</v>
      </c>
      <c r="G3" s="15" t="s">
        <v>314</v>
      </c>
      <c r="H3" s="15" t="s">
        <v>315</v>
      </c>
      <c r="I3" s="15" t="s">
        <v>316</v>
      </c>
    </row>
    <row r="4" customFormat="false" ht="15" hidden="false" customHeight="true" outlineLevel="0" collapsed="false">
      <c r="A4" s="16" t="s">
        <v>317</v>
      </c>
      <c r="B4" s="16" t="s">
        <v>318</v>
      </c>
      <c r="C4" s="16" t="s">
        <v>319</v>
      </c>
      <c r="D4" s="16" t="s">
        <v>279</v>
      </c>
      <c r="E4" s="17" t="n">
        <f aca="false">IF(LEN(D4)=0,0,LEN(D4)-LEN(SUBSTITUTE(D4,",",""))+1)</f>
        <v>1</v>
      </c>
      <c r="F4" s="16" t="s">
        <v>320</v>
      </c>
      <c r="G4" s="16" t="s">
        <v>321</v>
      </c>
      <c r="H4" s="16" t="s">
        <v>77</v>
      </c>
      <c r="I4" s="16" t="s">
        <v>322</v>
      </c>
    </row>
    <row r="5" customFormat="false" ht="15" hidden="false" customHeight="true" outlineLevel="0" collapsed="false">
      <c r="A5" s="16" t="s">
        <v>323</v>
      </c>
      <c r="B5" s="16" t="s">
        <v>318</v>
      </c>
      <c r="C5" s="16" t="s">
        <v>324</v>
      </c>
      <c r="D5" s="16" t="s">
        <v>325</v>
      </c>
      <c r="E5" s="17" t="n">
        <f aca="false">IF(LEN(D5)=0,0,LEN(D5)-LEN(SUBSTITUTE(D5,",",""))+1)</f>
        <v>2</v>
      </c>
      <c r="F5" s="16" t="s">
        <v>320</v>
      </c>
      <c r="G5" s="16" t="s">
        <v>326</v>
      </c>
      <c r="H5" s="16" t="s">
        <v>77</v>
      </c>
      <c r="I5" s="16" t="s">
        <v>322</v>
      </c>
    </row>
    <row r="6" customFormat="false" ht="15" hidden="false" customHeight="true" outlineLevel="0" collapsed="false">
      <c r="A6" s="16" t="s">
        <v>199</v>
      </c>
      <c r="B6" s="16" t="s">
        <v>318</v>
      </c>
      <c r="C6" s="16" t="s">
        <v>327</v>
      </c>
      <c r="D6" s="16" t="s">
        <v>328</v>
      </c>
      <c r="E6" s="17" t="n">
        <f aca="false">IF(LEN(D6)=0,0,LEN(D6)-LEN(SUBSTITUTE(D6,",",""))+1)</f>
        <v>2</v>
      </c>
      <c r="F6" s="16" t="s">
        <v>200</v>
      </c>
      <c r="G6" s="16" t="s">
        <v>201</v>
      </c>
      <c r="H6" s="16" t="s">
        <v>77</v>
      </c>
      <c r="I6" s="16" t="s">
        <v>322</v>
      </c>
    </row>
    <row r="7" customFormat="false" ht="15" hidden="false" customHeight="true" outlineLevel="0" collapsed="false">
      <c r="A7" s="16" t="s">
        <v>329</v>
      </c>
      <c r="B7" s="16" t="s">
        <v>318</v>
      </c>
      <c r="C7" s="16" t="s">
        <v>330</v>
      </c>
      <c r="D7" s="16" t="s">
        <v>266</v>
      </c>
      <c r="E7" s="17" t="n">
        <f aca="false">IF(LEN(D7)=0,0,LEN(D7)-LEN(SUBSTITUTE(D7,",",""))+1)</f>
        <v>1</v>
      </c>
      <c r="F7" s="16" t="s">
        <v>331</v>
      </c>
      <c r="G7" s="16" t="s">
        <v>332</v>
      </c>
      <c r="H7" s="16" t="s">
        <v>77</v>
      </c>
      <c r="I7" s="16" t="s">
        <v>322</v>
      </c>
    </row>
    <row r="8" customFormat="false" ht="15" hidden="false" customHeight="true" outlineLevel="0" collapsed="false">
      <c r="A8" s="16" t="s">
        <v>333</v>
      </c>
      <c r="B8" s="16" t="s">
        <v>318</v>
      </c>
      <c r="C8" s="16" t="s">
        <v>334</v>
      </c>
      <c r="D8" s="16" t="s">
        <v>266</v>
      </c>
      <c r="E8" s="17" t="n">
        <f aca="false">IF(LEN(D8)=0,0,LEN(D8)-LEN(SUBSTITUTE(D8,",",""))+1)</f>
        <v>1</v>
      </c>
      <c r="F8" s="16" t="s">
        <v>335</v>
      </c>
      <c r="G8" s="16" t="s">
        <v>336</v>
      </c>
      <c r="H8" s="16" t="s">
        <v>77</v>
      </c>
      <c r="I8" s="16" t="s">
        <v>322</v>
      </c>
    </row>
    <row r="9" customFormat="false" ht="15" hidden="false" customHeight="true" outlineLevel="0" collapsed="false">
      <c r="A9" s="16" t="s">
        <v>241</v>
      </c>
      <c r="B9" s="16" t="s">
        <v>318</v>
      </c>
      <c r="C9" s="16" t="s">
        <v>337</v>
      </c>
      <c r="D9" s="16" t="s">
        <v>338</v>
      </c>
      <c r="E9" s="17" t="n">
        <f aca="false">IF(LEN(D9)=0,0,LEN(D9)-LEN(SUBSTITUTE(D9,",",""))+1)</f>
        <v>2</v>
      </c>
      <c r="F9" s="16" t="s">
        <v>242</v>
      </c>
      <c r="G9" s="16" t="s">
        <v>243</v>
      </c>
      <c r="H9" s="16" t="s">
        <v>236</v>
      </c>
      <c r="I9" s="16" t="s">
        <v>322</v>
      </c>
    </row>
    <row r="10" customFormat="false" ht="15" hidden="false" customHeight="true" outlineLevel="0" collapsed="false">
      <c r="A10" s="16" t="s">
        <v>339</v>
      </c>
      <c r="B10" s="16" t="s">
        <v>318</v>
      </c>
      <c r="C10" s="16" t="s">
        <v>340</v>
      </c>
      <c r="D10" s="16" t="s">
        <v>246</v>
      </c>
      <c r="E10" s="17" t="n">
        <f aca="false">IF(LEN(D10)=0,0,LEN(D10)-LEN(SUBSTITUTE(D10,",",""))+1)</f>
        <v>1</v>
      </c>
      <c r="F10" s="16" t="s">
        <v>256</v>
      </c>
      <c r="G10" s="16" t="s">
        <v>112</v>
      </c>
      <c r="H10" s="16" t="s">
        <v>113</v>
      </c>
      <c r="I10" s="16" t="s">
        <v>322</v>
      </c>
    </row>
    <row r="11" customFormat="false" ht="15" hidden="false" customHeight="true" outlineLevel="0" collapsed="false">
      <c r="A11" s="16" t="s">
        <v>341</v>
      </c>
      <c r="B11" s="16" t="s">
        <v>318</v>
      </c>
      <c r="C11" s="16" t="s">
        <v>342</v>
      </c>
      <c r="D11" s="16" t="s">
        <v>279</v>
      </c>
      <c r="E11" s="17" t="n">
        <f aca="false">IF(LEN(D11)=0,0,LEN(D11)-LEN(SUBSTITUTE(D11,",",""))+1)</f>
        <v>1</v>
      </c>
      <c r="F11" s="16" t="s">
        <v>343</v>
      </c>
      <c r="G11" s="16" t="s">
        <v>321</v>
      </c>
      <c r="H11" s="16" t="s">
        <v>77</v>
      </c>
      <c r="I11" s="16" t="s">
        <v>322</v>
      </c>
    </row>
    <row r="12" customFormat="false" ht="15" hidden="false" customHeight="true" outlineLevel="0" collapsed="false">
      <c r="A12" s="16" t="s">
        <v>344</v>
      </c>
      <c r="B12" s="16" t="s">
        <v>318</v>
      </c>
      <c r="C12" s="16" t="s">
        <v>345</v>
      </c>
      <c r="D12" s="16" t="s">
        <v>231</v>
      </c>
      <c r="E12" s="17" t="n">
        <f aca="false">IF(LEN(D12)=0,0,LEN(D12)-LEN(SUBSTITUTE(D12,",",""))+1)</f>
        <v>1</v>
      </c>
      <c r="F12" s="16" t="s">
        <v>343</v>
      </c>
      <c r="G12" s="16" t="s">
        <v>346</v>
      </c>
      <c r="H12" s="16" t="s">
        <v>236</v>
      </c>
      <c r="I12" s="16" t="s">
        <v>322</v>
      </c>
    </row>
    <row r="13" customFormat="false" ht="15" hidden="false" customHeight="true" outlineLevel="0" collapsed="false">
      <c r="A13" s="16" t="s">
        <v>347</v>
      </c>
      <c r="B13" s="16" t="s">
        <v>318</v>
      </c>
      <c r="C13" s="16" t="s">
        <v>348</v>
      </c>
      <c r="D13" s="16" t="s">
        <v>231</v>
      </c>
      <c r="E13" s="17" t="n">
        <f aca="false">IF(LEN(D13)=0,0,LEN(D13)-LEN(SUBSTITUTE(D13,",",""))+1)</f>
        <v>1</v>
      </c>
      <c r="F13" s="16" t="s">
        <v>242</v>
      </c>
      <c r="G13" s="16" t="s">
        <v>243</v>
      </c>
      <c r="H13" s="16" t="s">
        <v>236</v>
      </c>
      <c r="I13" s="16" t="s">
        <v>322</v>
      </c>
    </row>
    <row r="14" customFormat="false" ht="15" hidden="false" customHeight="true" outlineLevel="0" collapsed="false">
      <c r="A14" s="16" t="s">
        <v>349</v>
      </c>
      <c r="B14" s="16" t="s">
        <v>318</v>
      </c>
      <c r="C14" s="16" t="s">
        <v>350</v>
      </c>
      <c r="D14" s="16" t="s">
        <v>266</v>
      </c>
      <c r="E14" s="17" t="n">
        <f aca="false">IF(LEN(D14)=0,0,LEN(D14)-LEN(SUBSTITUTE(D14,",",""))+1)</f>
        <v>1</v>
      </c>
      <c r="F14" s="16" t="s">
        <v>331</v>
      </c>
      <c r="G14" s="16" t="s">
        <v>336</v>
      </c>
      <c r="H14" s="16" t="s">
        <v>77</v>
      </c>
      <c r="I14" s="16" t="s">
        <v>322</v>
      </c>
    </row>
    <row r="15" customFormat="false" ht="15" hidden="false" customHeight="true" outlineLevel="0" collapsed="false">
      <c r="A15" s="16" t="s">
        <v>351</v>
      </c>
      <c r="B15" s="16" t="s">
        <v>318</v>
      </c>
      <c r="C15" s="16" t="s">
        <v>352</v>
      </c>
      <c r="D15" s="16" t="s">
        <v>353</v>
      </c>
      <c r="E15" s="17" t="n">
        <f aca="false">IF(LEN(D15)=0,0,LEN(D15)-LEN(SUBSTITUTE(D15,",",""))+1)</f>
        <v>2</v>
      </c>
      <c r="F15" s="16" t="s">
        <v>193</v>
      </c>
      <c r="G15" s="16" t="s">
        <v>194</v>
      </c>
      <c r="H15" s="16" t="s">
        <v>77</v>
      </c>
      <c r="I15" s="16" t="s">
        <v>322</v>
      </c>
    </row>
    <row r="16" customFormat="false" ht="15" hidden="false" customHeight="true" outlineLevel="0" collapsed="false">
      <c r="A16" s="16" t="s">
        <v>354</v>
      </c>
      <c r="B16" s="16" t="s">
        <v>318</v>
      </c>
      <c r="C16" s="16" t="s">
        <v>355</v>
      </c>
      <c r="D16" s="16" t="s">
        <v>353</v>
      </c>
      <c r="E16" s="17" t="n">
        <f aca="false">IF(LEN(D16)=0,0,LEN(D16)-LEN(SUBSTITUTE(D16,",",""))+1)</f>
        <v>2</v>
      </c>
      <c r="F16" s="16" t="s">
        <v>193</v>
      </c>
      <c r="G16" s="16" t="s">
        <v>194</v>
      </c>
      <c r="H16" s="16" t="s">
        <v>77</v>
      </c>
      <c r="I16" s="16" t="s">
        <v>322</v>
      </c>
    </row>
    <row r="17" customFormat="false" ht="15" hidden="false" customHeight="true" outlineLevel="0" collapsed="false">
      <c r="A17" s="16" t="s">
        <v>356</v>
      </c>
      <c r="B17" s="16" t="s">
        <v>318</v>
      </c>
      <c r="C17" s="16" t="s">
        <v>357</v>
      </c>
      <c r="D17" s="16" t="s">
        <v>279</v>
      </c>
      <c r="E17" s="17" t="n">
        <f aca="false">IF(LEN(D17)=0,0,LEN(D17)-LEN(SUBSTITUTE(D17,",",""))+1)</f>
        <v>1</v>
      </c>
      <c r="F17" s="16" t="s">
        <v>320</v>
      </c>
      <c r="G17" s="16" t="s">
        <v>358</v>
      </c>
      <c r="H17" s="16" t="s">
        <v>77</v>
      </c>
      <c r="I17" s="16" t="s">
        <v>322</v>
      </c>
    </row>
    <row r="18" customFormat="false" ht="15" hidden="false" customHeight="true" outlineLevel="0" collapsed="false">
      <c r="A18" s="16" t="s">
        <v>359</v>
      </c>
      <c r="B18" s="16" t="s">
        <v>318</v>
      </c>
      <c r="C18" s="16" t="s">
        <v>360</v>
      </c>
      <c r="D18" s="16" t="s">
        <v>361</v>
      </c>
      <c r="E18" s="17" t="n">
        <f aca="false">IF(LEN(D18)=0,0,LEN(D18)-LEN(SUBSTITUTE(D18,",",""))+1)</f>
        <v>2</v>
      </c>
      <c r="F18" s="16" t="s">
        <v>320</v>
      </c>
      <c r="G18" s="16" t="s">
        <v>358</v>
      </c>
      <c r="H18" s="16" t="s">
        <v>77</v>
      </c>
      <c r="I18" s="16" t="s">
        <v>322</v>
      </c>
    </row>
    <row r="19" customFormat="false" ht="15" hidden="false" customHeight="true" outlineLevel="0" collapsed="false">
      <c r="A19" s="16" t="s">
        <v>362</v>
      </c>
      <c r="B19" s="16" t="s">
        <v>318</v>
      </c>
      <c r="C19" s="16" t="s">
        <v>363</v>
      </c>
      <c r="D19" s="16" t="s">
        <v>364</v>
      </c>
      <c r="E19" s="17" t="n">
        <f aca="false">IF(LEN(D19)=0,0,LEN(D19)-LEN(SUBSTITUTE(D19,",",""))+1)</f>
        <v>2</v>
      </c>
      <c r="F19" s="16" t="s">
        <v>365</v>
      </c>
      <c r="G19" s="16" t="s">
        <v>366</v>
      </c>
      <c r="H19" s="16" t="s">
        <v>77</v>
      </c>
      <c r="I19" s="16" t="s">
        <v>322</v>
      </c>
    </row>
    <row r="20" customFormat="false" ht="15" hidden="false" customHeight="true" outlineLevel="0" collapsed="false">
      <c r="A20" s="16" t="s">
        <v>208</v>
      </c>
      <c r="B20" s="16" t="s">
        <v>318</v>
      </c>
      <c r="C20" s="16" t="s">
        <v>367</v>
      </c>
      <c r="D20" s="16" t="s">
        <v>368</v>
      </c>
      <c r="E20" s="17" t="n">
        <f aca="false">IF(LEN(D20)=0,0,LEN(D20)-LEN(SUBSTITUTE(D20,",",""))+1)</f>
        <v>2</v>
      </c>
      <c r="F20" s="16" t="s">
        <v>209</v>
      </c>
      <c r="G20" s="16" t="s">
        <v>76</v>
      </c>
      <c r="H20" s="16" t="s">
        <v>77</v>
      </c>
      <c r="I20" s="16" t="s">
        <v>322</v>
      </c>
    </row>
    <row r="21" customFormat="false" ht="15" hidden="false" customHeight="true" outlineLevel="0" collapsed="false">
      <c r="A21" s="16" t="s">
        <v>369</v>
      </c>
      <c r="B21" s="16" t="s">
        <v>318</v>
      </c>
      <c r="C21" s="16" t="s">
        <v>370</v>
      </c>
      <c r="D21" s="16" t="s">
        <v>246</v>
      </c>
      <c r="E21" s="17" t="n">
        <f aca="false">IF(LEN(D21)=0,0,LEN(D21)-LEN(SUBSTITUTE(D21,",",""))+1)</f>
        <v>1</v>
      </c>
      <c r="F21" s="16" t="s">
        <v>256</v>
      </c>
      <c r="G21" s="16" t="s">
        <v>371</v>
      </c>
      <c r="H21" s="16" t="s">
        <v>113</v>
      </c>
      <c r="I21" s="16" t="s">
        <v>322</v>
      </c>
    </row>
    <row r="22" customFormat="false" ht="15" hidden="false" customHeight="true" outlineLevel="0" collapsed="false">
      <c r="A22" s="16" t="s">
        <v>372</v>
      </c>
      <c r="B22" s="16" t="s">
        <v>318</v>
      </c>
      <c r="C22" s="16" t="s">
        <v>373</v>
      </c>
      <c r="D22" s="16" t="s">
        <v>218</v>
      </c>
      <c r="E22" s="17" t="n">
        <f aca="false">IF(LEN(D22)=0,0,LEN(D22)-LEN(SUBSTITUTE(D22,",",""))+1)</f>
        <v>1</v>
      </c>
      <c r="F22" s="16" t="s">
        <v>374</v>
      </c>
      <c r="G22" s="16" t="s">
        <v>366</v>
      </c>
      <c r="H22" s="16" t="s">
        <v>77</v>
      </c>
      <c r="I22" s="16" t="s">
        <v>322</v>
      </c>
    </row>
    <row r="23" customFormat="false" ht="15" hidden="false" customHeight="true" outlineLevel="0" collapsed="false">
      <c r="A23" s="16" t="s">
        <v>192</v>
      </c>
      <c r="B23" s="16" t="s">
        <v>318</v>
      </c>
      <c r="C23" s="16" t="s">
        <v>375</v>
      </c>
      <c r="D23" s="16" t="s">
        <v>188</v>
      </c>
      <c r="E23" s="17" t="n">
        <f aca="false">IF(LEN(D23)=0,0,LEN(D23)-LEN(SUBSTITUTE(D23,",",""))+1)</f>
        <v>1</v>
      </c>
      <c r="F23" s="16" t="s">
        <v>376</v>
      </c>
      <c r="G23" s="16" t="s">
        <v>201</v>
      </c>
      <c r="H23" s="16" t="s">
        <v>77</v>
      </c>
      <c r="I23" s="16" t="s">
        <v>322</v>
      </c>
    </row>
    <row r="24" customFormat="false" ht="15" hidden="false" customHeight="true" outlineLevel="0" collapsed="false">
      <c r="A24" s="16" t="s">
        <v>110</v>
      </c>
      <c r="B24" s="16" t="s">
        <v>318</v>
      </c>
      <c r="C24" s="16" t="s">
        <v>377</v>
      </c>
      <c r="D24" s="16" t="s">
        <v>378</v>
      </c>
      <c r="E24" s="17" t="n">
        <f aca="false">IF(LEN(D24)=0,0,LEN(D24)-LEN(SUBSTITUTE(D24,",",""))+1)</f>
        <v>2</v>
      </c>
      <c r="F24" s="16" t="s">
        <v>111</v>
      </c>
      <c r="G24" s="16" t="s">
        <v>112</v>
      </c>
      <c r="H24" s="16" t="s">
        <v>113</v>
      </c>
      <c r="I24" s="16" t="s">
        <v>322</v>
      </c>
    </row>
    <row r="25" customFormat="false" ht="15" hidden="false" customHeight="true" outlineLevel="0" collapsed="false">
      <c r="A25" s="16" t="s">
        <v>64</v>
      </c>
      <c r="B25" s="16" t="s">
        <v>379</v>
      </c>
      <c r="C25" s="16" t="s">
        <v>380</v>
      </c>
      <c r="D25" s="16" t="s">
        <v>62</v>
      </c>
      <c r="E25" s="17" t="n">
        <f aca="false">IF(LEN(D25)=0,0,LEN(D25)-LEN(SUBSTITUTE(D25,",",""))+1)</f>
        <v>1</v>
      </c>
      <c r="F25" s="16" t="s">
        <v>65</v>
      </c>
      <c r="G25" s="16" t="s">
        <v>54</v>
      </c>
      <c r="H25" s="16" t="s">
        <v>55</v>
      </c>
      <c r="I25" s="16"/>
    </row>
    <row r="26" customFormat="false" ht="15" hidden="false" customHeight="true" outlineLevel="0" collapsed="false">
      <c r="A26" s="16" t="s">
        <v>52</v>
      </c>
      <c r="B26" s="16" t="s">
        <v>379</v>
      </c>
      <c r="C26" s="16" t="s">
        <v>381</v>
      </c>
      <c r="D26" s="16" t="s">
        <v>50</v>
      </c>
      <c r="E26" s="17" t="n">
        <f aca="false">IF(LEN(D26)=0,0,LEN(D26)-LEN(SUBSTITUTE(D26,",",""))+1)</f>
        <v>1</v>
      </c>
      <c r="F26" s="16" t="s">
        <v>53</v>
      </c>
      <c r="G26" s="16" t="s">
        <v>54</v>
      </c>
      <c r="H26" s="16" t="s">
        <v>55</v>
      </c>
      <c r="I26" s="16"/>
    </row>
    <row r="27" customFormat="false" ht="15" hidden="false" customHeight="true" outlineLevel="0" collapsed="false">
      <c r="A27" s="16" t="s">
        <v>96</v>
      </c>
      <c r="B27" s="16" t="s">
        <v>379</v>
      </c>
      <c r="C27" s="16" t="s">
        <v>382</v>
      </c>
      <c r="D27" s="16" t="s">
        <v>94</v>
      </c>
      <c r="E27" s="17" t="n">
        <f aca="false">IF(LEN(D27)=0,0,LEN(D27)-LEN(SUBSTITUTE(D27,",",""))+1)</f>
        <v>1</v>
      </c>
      <c r="F27" s="16" t="s">
        <v>97</v>
      </c>
      <c r="G27" s="16" t="s">
        <v>54</v>
      </c>
      <c r="H27" s="16" t="s">
        <v>77</v>
      </c>
      <c r="I27" s="16" t="s">
        <v>322</v>
      </c>
    </row>
    <row r="28" customFormat="false" ht="15" hidden="false" customHeight="true" outlineLevel="0" collapsed="false">
      <c r="A28" s="16" t="s">
        <v>383</v>
      </c>
      <c r="B28" s="16" t="s">
        <v>379</v>
      </c>
      <c r="C28" s="16" t="s">
        <v>384</v>
      </c>
      <c r="D28" s="16" t="s">
        <v>279</v>
      </c>
      <c r="E28" s="17" t="n">
        <f aca="false">IF(LEN(D28)=0,0,LEN(D28)-LEN(SUBSTITUTE(D28,",",""))+1)</f>
        <v>1</v>
      </c>
      <c r="F28" s="16" t="s">
        <v>343</v>
      </c>
      <c r="G28" s="16" t="s">
        <v>321</v>
      </c>
      <c r="H28" s="16" t="s">
        <v>77</v>
      </c>
      <c r="I28" s="16" t="s">
        <v>322</v>
      </c>
    </row>
    <row r="29" customFormat="false" ht="15" hidden="false" customHeight="true" outlineLevel="0" collapsed="false">
      <c r="A29" s="16" t="s">
        <v>385</v>
      </c>
      <c r="B29" s="16" t="s">
        <v>379</v>
      </c>
      <c r="C29" s="16" t="s">
        <v>386</v>
      </c>
      <c r="D29" s="16" t="s">
        <v>387</v>
      </c>
      <c r="E29" s="17" t="n">
        <f aca="false">IF(LEN(D29)=0,0,LEN(D29)-LEN(SUBSTITUTE(D29,",",""))+1)</f>
        <v>2</v>
      </c>
      <c r="F29" s="16" t="s">
        <v>376</v>
      </c>
      <c r="G29" s="16" t="s">
        <v>201</v>
      </c>
      <c r="H29" s="16" t="s">
        <v>77</v>
      </c>
      <c r="I29" s="16" t="s">
        <v>322</v>
      </c>
    </row>
    <row r="30" customFormat="false" ht="15" hidden="false" customHeight="true" outlineLevel="0" collapsed="false">
      <c r="A30" s="16" t="s">
        <v>255</v>
      </c>
      <c r="B30" s="16" t="s">
        <v>379</v>
      </c>
      <c r="C30" s="16" t="s">
        <v>388</v>
      </c>
      <c r="D30" s="16" t="s">
        <v>389</v>
      </c>
      <c r="E30" s="17" t="n">
        <f aca="false">IF(LEN(D30)=0,0,LEN(D30)-LEN(SUBSTITUTE(D30,",",""))+1)</f>
        <v>2</v>
      </c>
      <c r="F30" s="16" t="s">
        <v>256</v>
      </c>
      <c r="G30" s="16" t="s">
        <v>257</v>
      </c>
      <c r="H30" s="16" t="s">
        <v>113</v>
      </c>
      <c r="I30" s="16" t="s">
        <v>322</v>
      </c>
    </row>
    <row r="31" customFormat="false" ht="15" hidden="false" customHeight="true" outlineLevel="0" collapsed="false">
      <c r="A31" s="16" t="s">
        <v>390</v>
      </c>
      <c r="B31" s="16" t="s">
        <v>379</v>
      </c>
      <c r="C31" s="16" t="s">
        <v>391</v>
      </c>
      <c r="D31" s="16" t="s">
        <v>231</v>
      </c>
      <c r="E31" s="17" t="n">
        <f aca="false">IF(LEN(D31)=0,0,LEN(D31)-LEN(SUBSTITUTE(D31,",",""))+1)</f>
        <v>1</v>
      </c>
      <c r="F31" s="16" t="s">
        <v>242</v>
      </c>
      <c r="G31" s="16" t="s">
        <v>243</v>
      </c>
      <c r="H31" s="16" t="s">
        <v>236</v>
      </c>
      <c r="I31" s="16" t="s">
        <v>322</v>
      </c>
    </row>
    <row r="32" customFormat="false" ht="15" hidden="false" customHeight="true" outlineLevel="0" collapsed="false">
      <c r="A32" s="16" t="s">
        <v>392</v>
      </c>
      <c r="B32" s="16" t="s">
        <v>379</v>
      </c>
      <c r="C32" s="16" t="s">
        <v>393</v>
      </c>
      <c r="D32" s="16" t="s">
        <v>246</v>
      </c>
      <c r="E32" s="17" t="n">
        <f aca="false">IF(LEN(D32)=0,0,LEN(D32)-LEN(SUBSTITUTE(D32,",",""))+1)</f>
        <v>1</v>
      </c>
      <c r="F32" s="16" t="s">
        <v>111</v>
      </c>
      <c r="G32" s="16" t="s">
        <v>112</v>
      </c>
      <c r="H32" s="16" t="s">
        <v>113</v>
      </c>
      <c r="I32" s="16" t="s">
        <v>322</v>
      </c>
    </row>
    <row r="34" customFormat="false" ht="15" hidden="false" customHeight="true" outlineLevel="0" collapsed="false">
      <c r="A34" s="4" t="s">
        <v>394</v>
      </c>
      <c r="B34" s="5"/>
      <c r="C34" s="5"/>
      <c r="D34" s="5"/>
    </row>
    <row r="35" customFormat="false" ht="15" hidden="false" customHeight="true" outlineLevel="0" collapsed="false">
      <c r="A35" s="20" t="s">
        <v>395</v>
      </c>
      <c r="B35" s="21"/>
      <c r="C35" s="20" t="s">
        <v>396</v>
      </c>
    </row>
    <row r="36" customFormat="false" ht="15" hidden="false" customHeight="true" outlineLevel="0" collapsed="false">
      <c r="A36" s="16" t="s">
        <v>53</v>
      </c>
      <c r="C36" s="16" t="s">
        <v>397</v>
      </c>
    </row>
    <row r="37" customFormat="false" ht="15" hidden="false" customHeight="true" outlineLevel="0" collapsed="false">
      <c r="A37" s="16" t="s">
        <v>65</v>
      </c>
      <c r="C37" s="16" t="s">
        <v>398</v>
      </c>
    </row>
    <row r="38" customFormat="false" ht="15" hidden="false" customHeight="true" outlineLevel="0" collapsed="false">
      <c r="A38" s="16" t="s">
        <v>331</v>
      </c>
      <c r="C38" s="16" t="s">
        <v>399</v>
      </c>
    </row>
    <row r="39" customFormat="false" ht="15" hidden="false" customHeight="true" outlineLevel="0" collapsed="false">
      <c r="A39" s="16" t="s">
        <v>335</v>
      </c>
      <c r="C39" s="16" t="s">
        <v>400</v>
      </c>
    </row>
    <row r="40" customFormat="false" ht="15" hidden="false" customHeight="true" outlineLevel="0" collapsed="false">
      <c r="A40" s="16" t="s">
        <v>374</v>
      </c>
      <c r="C40" s="16" t="s">
        <v>401</v>
      </c>
    </row>
    <row r="41" customFormat="false" ht="15" hidden="false" customHeight="true" outlineLevel="0" collapsed="false">
      <c r="A41" s="16" t="s">
        <v>365</v>
      </c>
      <c r="C41" s="16" t="s">
        <v>402</v>
      </c>
    </row>
    <row r="42" customFormat="false" ht="15" hidden="false" customHeight="true" outlineLevel="0" collapsed="false">
      <c r="A42" s="16" t="s">
        <v>320</v>
      </c>
      <c r="C42" s="16" t="s">
        <v>403</v>
      </c>
    </row>
    <row r="43" customFormat="false" ht="15" hidden="false" customHeight="true" outlineLevel="0" collapsed="false">
      <c r="A43" s="16" t="s">
        <v>343</v>
      </c>
      <c r="C43" s="16" t="s">
        <v>404</v>
      </c>
    </row>
    <row r="44" customFormat="false" ht="15" hidden="false" customHeight="true" outlineLevel="0" collapsed="false">
      <c r="A44" s="16" t="s">
        <v>376</v>
      </c>
      <c r="C44" s="16" t="s">
        <v>405</v>
      </c>
    </row>
    <row r="45" customFormat="false" ht="15" hidden="false" customHeight="true" outlineLevel="0" collapsed="false">
      <c r="A45" s="16" t="s">
        <v>200</v>
      </c>
      <c r="C45" s="16" t="s">
        <v>406</v>
      </c>
    </row>
    <row r="46" customFormat="false" ht="15" hidden="false" customHeight="true" outlineLevel="0" collapsed="false">
      <c r="A46" s="16" t="s">
        <v>209</v>
      </c>
      <c r="C46" s="16" t="s">
        <v>407</v>
      </c>
    </row>
    <row r="47" customFormat="false" ht="15" hidden="false" customHeight="true" outlineLevel="0" collapsed="false">
      <c r="A47" s="16" t="s">
        <v>242</v>
      </c>
      <c r="C47" s="16" t="s">
        <v>408</v>
      </c>
    </row>
    <row r="48" customFormat="false" ht="15" hidden="false" customHeight="true" outlineLevel="0" collapsed="false">
      <c r="A48" s="16" t="s">
        <v>256</v>
      </c>
      <c r="C48" s="16" t="s">
        <v>409</v>
      </c>
    </row>
    <row r="49" customFormat="false" ht="15" hidden="false" customHeight="true" outlineLevel="0" collapsed="false">
      <c r="A49" s="16" t="s">
        <v>111</v>
      </c>
      <c r="C49" s="16" t="s">
        <v>410</v>
      </c>
    </row>
    <row r="50" customFormat="false" ht="15" hidden="false" customHeight="true" outlineLevel="0" collapsed="false">
      <c r="A50" s="16" t="s">
        <v>97</v>
      </c>
      <c r="C50" s="16" t="s">
        <v>411</v>
      </c>
    </row>
    <row r="52" customFormat="false" ht="15" hidden="false" customHeight="true" outlineLevel="0" collapsed="false">
      <c r="A52" s="4" t="s">
        <v>412</v>
      </c>
      <c r="B52" s="5"/>
      <c r="C52" s="5"/>
      <c r="D52" s="5"/>
    </row>
    <row r="53" customFormat="false" ht="15" hidden="false" customHeight="true" outlineLevel="0" collapsed="false">
      <c r="A53" s="20" t="s">
        <v>395</v>
      </c>
      <c r="B53" s="21"/>
      <c r="C53" s="20" t="s">
        <v>396</v>
      </c>
    </row>
    <row r="54" customFormat="false" ht="15" hidden="false" customHeight="true" outlineLevel="0" collapsed="false">
      <c r="A54" s="16" t="s">
        <v>413</v>
      </c>
      <c r="C54" s="16" t="s">
        <v>414</v>
      </c>
    </row>
    <row r="55" customFormat="false" ht="15" hidden="false" customHeight="true" outlineLevel="0" collapsed="false">
      <c r="A55" s="16" t="s">
        <v>321</v>
      </c>
      <c r="C55" s="16" t="s">
        <v>415</v>
      </c>
    </row>
    <row r="56" customFormat="false" ht="15" hidden="false" customHeight="true" outlineLevel="0" collapsed="false">
      <c r="A56" s="16" t="s">
        <v>243</v>
      </c>
      <c r="C56" s="16" t="s">
        <v>416</v>
      </c>
    </row>
    <row r="57" customFormat="false" ht="15" hidden="false" customHeight="true" outlineLevel="0" collapsed="false">
      <c r="A57" s="16" t="s">
        <v>417</v>
      </c>
      <c r="C57" s="16" t="s">
        <v>418</v>
      </c>
    </row>
    <row r="58" customFormat="false" ht="15" hidden="false" customHeight="true" outlineLevel="0" collapsed="false">
      <c r="A58" s="16" t="s">
        <v>419</v>
      </c>
      <c r="C58" s="16" t="s">
        <v>420</v>
      </c>
    </row>
    <row r="59" customFormat="false" ht="15" hidden="false" customHeight="true" outlineLevel="0" collapsed="false">
      <c r="A59" s="16" t="s">
        <v>336</v>
      </c>
      <c r="C59" s="16" t="s">
        <v>421</v>
      </c>
    </row>
    <row r="60" customFormat="false" ht="15" hidden="false" customHeight="true" outlineLevel="0" collapsed="false">
      <c r="A60" s="16" t="s">
        <v>422</v>
      </c>
      <c r="C60" s="16" t="s">
        <v>423</v>
      </c>
    </row>
    <row r="61" customFormat="false" ht="15" hidden="false" customHeight="true" outlineLevel="0" collapsed="false">
      <c r="A61" s="16" t="s">
        <v>112</v>
      </c>
      <c r="C61" s="16" t="s">
        <v>424</v>
      </c>
    </row>
    <row r="62" customFormat="false" ht="15" hidden="false" customHeight="true" outlineLevel="0" collapsed="false">
      <c r="A62" s="16" t="s">
        <v>54</v>
      </c>
      <c r="C62" s="16" t="s">
        <v>425</v>
      </c>
    </row>
    <row r="63" customFormat="false" ht="15" hidden="false" customHeight="true" outlineLevel="0" collapsed="false">
      <c r="A63" s="16" t="s">
        <v>201</v>
      </c>
      <c r="C63" s="16" t="s">
        <v>426</v>
      </c>
    </row>
    <row r="65" customFormat="false" ht="15" hidden="false" customHeight="true" outlineLevel="0" collapsed="false">
      <c r="A65" s="4" t="s">
        <v>427</v>
      </c>
      <c r="B65" s="5"/>
      <c r="C65" s="5"/>
      <c r="D65" s="5"/>
    </row>
    <row r="66" customFormat="false" ht="15" hidden="false" customHeight="true" outlineLevel="0" collapsed="false">
      <c r="A66" s="20" t="s">
        <v>395</v>
      </c>
      <c r="B66" s="21"/>
      <c r="C66" s="20" t="s">
        <v>428</v>
      </c>
      <c r="D66" s="20" t="s">
        <v>429</v>
      </c>
    </row>
    <row r="67" customFormat="false" ht="15" hidden="false" customHeight="true" outlineLevel="0" collapsed="false">
      <c r="A67" s="16" t="s">
        <v>430</v>
      </c>
      <c r="C67" s="16" t="s">
        <v>431</v>
      </c>
      <c r="D67" s="16" t="s">
        <v>432</v>
      </c>
    </row>
    <row r="68" customFormat="false" ht="15" hidden="false" customHeight="true" outlineLevel="0" collapsed="false">
      <c r="A68" s="16" t="s">
        <v>433</v>
      </c>
      <c r="C68" s="16" t="s">
        <v>434</v>
      </c>
      <c r="D68" s="16" t="s">
        <v>432</v>
      </c>
    </row>
    <row r="69" customFormat="false" ht="15" hidden="false" customHeight="true" outlineLevel="0" collapsed="false">
      <c r="A69" s="16" t="s">
        <v>55</v>
      </c>
      <c r="C69" s="16" t="s">
        <v>435</v>
      </c>
      <c r="D69" s="16" t="s">
        <v>436</v>
      </c>
    </row>
    <row r="70" customFormat="false" ht="15" hidden="false" customHeight="true" outlineLevel="0" collapsed="false">
      <c r="A70" s="16" t="s">
        <v>77</v>
      </c>
      <c r="C70" s="16" t="s">
        <v>437</v>
      </c>
      <c r="D70" s="16" t="s">
        <v>436</v>
      </c>
    </row>
    <row r="71" customFormat="false" ht="15" hidden="false" customHeight="true" outlineLevel="0" collapsed="false">
      <c r="A71" s="16" t="s">
        <v>113</v>
      </c>
      <c r="C71" s="16" t="s">
        <v>438</v>
      </c>
      <c r="D71" s="16" t="s">
        <v>436</v>
      </c>
    </row>
    <row r="72" customFormat="false" ht="15" hidden="false" customHeight="true" outlineLevel="0" collapsed="false">
      <c r="A72" s="16" t="s">
        <v>439</v>
      </c>
      <c r="C72" s="16" t="s">
        <v>440</v>
      </c>
      <c r="D72" s="16" t="s">
        <v>432</v>
      </c>
    </row>
    <row r="73" customFormat="false" ht="15" hidden="false" customHeight="true" outlineLevel="0" collapsed="false">
      <c r="A73" s="16" t="s">
        <v>236</v>
      </c>
      <c r="C73" s="16" t="s">
        <v>441</v>
      </c>
      <c r="D73" s="16" t="s">
        <v>436</v>
      </c>
    </row>
    <row r="74" customFormat="false" ht="15" hidden="false" customHeight="true" outlineLevel="0" collapsed="false">
      <c r="A74" s="16" t="s">
        <v>442</v>
      </c>
      <c r="C74" s="16" t="s">
        <v>443</v>
      </c>
      <c r="D74" s="16" t="s">
        <v>432</v>
      </c>
    </row>
    <row r="76" customFormat="false" ht="15" hidden="false" customHeight="true" outlineLevel="0" collapsed="false">
      <c r="A76" s="22" t="s">
        <v>316</v>
      </c>
      <c r="C76" s="23" t="s">
        <v>322</v>
      </c>
    </row>
    <row r="77" customFormat="false" ht="15" hidden="false" customHeight="true" outlineLevel="0" collapsed="false">
      <c r="A77" s="22" t="s">
        <v>444</v>
      </c>
      <c r="C77" s="23" t="s">
        <v>445</v>
      </c>
    </row>
  </sheetData>
  <autoFilter ref="A3:I3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6"/>
    <col collapsed="false" customWidth="true" hidden="false" outlineLevel="0" max="4" min="4" style="1" width="44"/>
    <col collapsed="false" customWidth="true" hidden="false" outlineLevel="0" max="5" min="5" style="1" width="70"/>
    <col collapsed="false" customWidth="true" hidden="false" outlineLevel="0" max="11" min="6" style="1" width="10"/>
  </cols>
  <sheetData>
    <row r="1" customFormat="false" ht="17.25" hidden="false" customHeight="true" outlineLevel="0" collapsed="false">
      <c r="A1" s="2" t="s">
        <v>446</v>
      </c>
    </row>
    <row r="2" customFormat="false" ht="15" hidden="false" customHeight="true" outlineLevel="0" collapsed="false">
      <c r="A2" s="3" t="s">
        <v>447</v>
      </c>
    </row>
    <row r="4" customFormat="false" ht="15" hidden="false" customHeight="true" outlineLevel="0" collapsed="false">
      <c r="A4" s="4" t="s">
        <v>448</v>
      </c>
      <c r="B4" s="5"/>
      <c r="C4" s="5"/>
      <c r="D4" s="5"/>
      <c r="E4" s="5"/>
    </row>
    <row r="5" customFormat="false" ht="15" hidden="false" customHeight="true" outlineLevel="0" collapsed="false">
      <c r="A5" s="15" t="s">
        <v>449</v>
      </c>
      <c r="B5" s="15" t="s">
        <v>450</v>
      </c>
      <c r="C5" s="15"/>
      <c r="D5" s="15" t="s">
        <v>451</v>
      </c>
      <c r="E5" s="15" t="s">
        <v>452</v>
      </c>
    </row>
    <row r="6" customFormat="false" ht="15" hidden="false" customHeight="true" outlineLevel="0" collapsed="false">
      <c r="A6" s="16" t="s">
        <v>453</v>
      </c>
      <c r="B6" s="16" t="n">
        <v>15</v>
      </c>
      <c r="C6" s="16"/>
      <c r="D6" s="16" t="s">
        <v>454</v>
      </c>
      <c r="E6" s="16"/>
    </row>
    <row r="7" customFormat="false" ht="15" hidden="false" customHeight="true" outlineLevel="0" collapsed="false">
      <c r="A7" s="16" t="s">
        <v>455</v>
      </c>
      <c r="B7" s="16" t="n">
        <v>93</v>
      </c>
      <c r="C7" s="16"/>
      <c r="D7" s="16" t="s">
        <v>456</v>
      </c>
      <c r="E7" s="16"/>
    </row>
    <row r="8" customFormat="false" ht="15" hidden="false" customHeight="true" outlineLevel="0" collapsed="false">
      <c r="A8" s="16" t="s">
        <v>457</v>
      </c>
      <c r="B8" s="24" t="n">
        <f aca="false">B6/B7</f>
        <v>0.161290322580645</v>
      </c>
      <c r="C8" s="16"/>
      <c r="D8" s="16" t="s">
        <v>458</v>
      </c>
      <c r="E8" s="16" t="s">
        <v>459</v>
      </c>
    </row>
    <row r="9" customFormat="false" ht="15" hidden="false" customHeight="true" outlineLevel="0" collapsed="false">
      <c r="A9" s="16" t="s">
        <v>460</v>
      </c>
      <c r="B9" s="24" t="n">
        <f aca="false">SoA!C12</f>
        <v>0.161290322580645</v>
      </c>
      <c r="C9" s="16"/>
      <c r="D9" s="16" t="s">
        <v>461</v>
      </c>
      <c r="E9" s="16"/>
    </row>
    <row r="10" customFormat="false" ht="15" hidden="false" customHeight="true" outlineLevel="0" collapsed="false">
      <c r="A10" s="16" t="s">
        <v>462</v>
      </c>
      <c r="B10" s="16" t="n">
        <v>15</v>
      </c>
      <c r="C10" s="16"/>
      <c r="D10" s="16" t="s">
        <v>463</v>
      </c>
      <c r="E10" s="16"/>
    </row>
    <row r="11" customFormat="false" ht="34.5" hidden="false" customHeight="true" outlineLevel="0" collapsed="false">
      <c r="A11" s="16" t="s">
        <v>464</v>
      </c>
      <c r="B11" s="16" t="n">
        <v>121</v>
      </c>
      <c r="C11" s="16"/>
      <c r="D11" s="16" t="s">
        <v>465</v>
      </c>
      <c r="E11" s="16" t="s">
        <v>445</v>
      </c>
    </row>
    <row r="12" customFormat="false" ht="15" hidden="false" customHeight="true" outlineLevel="0" collapsed="false">
      <c r="A12" s="16" t="s">
        <v>466</v>
      </c>
      <c r="B12" s="24" t="n">
        <f aca="false">B10/B11</f>
        <v>0.12396694214876</v>
      </c>
      <c r="C12" s="16"/>
      <c r="D12" s="16" t="s">
        <v>458</v>
      </c>
      <c r="E12" s="16" t="s">
        <v>467</v>
      </c>
    </row>
    <row r="13" customFormat="false" ht="15" hidden="false" customHeight="true" outlineLevel="0" collapsed="false">
      <c r="A13" s="16" t="s">
        <v>468</v>
      </c>
      <c r="B13" s="16" t="n">
        <v>4</v>
      </c>
      <c r="C13" s="16"/>
      <c r="D13" s="16" t="s">
        <v>469</v>
      </c>
      <c r="E13" s="16" t="s">
        <v>470</v>
      </c>
    </row>
    <row r="14" customFormat="false" ht="15" hidden="false" customHeight="true" outlineLevel="0" collapsed="false">
      <c r="A14" s="16" t="s">
        <v>471</v>
      </c>
      <c r="B14" s="16" t="n">
        <v>8</v>
      </c>
      <c r="C14" s="16"/>
      <c r="D14" s="16" t="s">
        <v>472</v>
      </c>
      <c r="E14" s="16" t="s">
        <v>473</v>
      </c>
    </row>
    <row r="15" customFormat="false" ht="15" hidden="false" customHeight="true" outlineLevel="0" collapsed="false">
      <c r="A15" s="16" t="s">
        <v>474</v>
      </c>
      <c r="B15" s="24" t="n">
        <f aca="false">B13/B14</f>
        <v>0.5</v>
      </c>
      <c r="C15" s="16"/>
      <c r="D15" s="16" t="s">
        <v>458</v>
      </c>
      <c r="E15" s="16" t="s">
        <v>475</v>
      </c>
    </row>
    <row r="16" customFormat="false" ht="57" hidden="false" customHeight="true" outlineLevel="0" collapsed="false">
      <c r="A16" s="16" t="s">
        <v>412</v>
      </c>
      <c r="B16" s="16" t="s">
        <v>476</v>
      </c>
      <c r="C16" s="16"/>
      <c r="D16" s="16" t="s">
        <v>477</v>
      </c>
      <c r="E16" s="16" t="s">
        <v>478</v>
      </c>
    </row>
    <row r="17" customFormat="false" ht="15" hidden="false" customHeight="true" outlineLevel="0" collapsed="false">
      <c r="A17" s="16" t="s">
        <v>479</v>
      </c>
      <c r="B17" s="16" t="n">
        <v>0</v>
      </c>
      <c r="C17" s="16"/>
      <c r="D17" s="16" t="s">
        <v>480</v>
      </c>
      <c r="E17" s="16"/>
    </row>
    <row r="19" customFormat="false" ht="15" hidden="false" customHeight="true" outlineLevel="0" collapsed="false">
      <c r="A19" s="4" t="s">
        <v>481</v>
      </c>
      <c r="B19" s="5"/>
      <c r="C19" s="5"/>
      <c r="D19" s="5"/>
      <c r="E19" s="5"/>
    </row>
    <row r="20" customFormat="false" ht="15" hidden="false" customHeight="true" outlineLevel="0" collapsed="false">
      <c r="A20" s="15" t="s">
        <v>482</v>
      </c>
      <c r="B20" s="15" t="s">
        <v>450</v>
      </c>
      <c r="C20" s="15"/>
      <c r="D20" s="15" t="s">
        <v>451</v>
      </c>
      <c r="E20" s="15"/>
    </row>
    <row r="21" customFormat="false" ht="15" hidden="false" customHeight="true" outlineLevel="0" collapsed="false">
      <c r="A21" s="16" t="s">
        <v>483</v>
      </c>
      <c r="B21" s="16" t="s">
        <v>484</v>
      </c>
      <c r="C21" s="16"/>
      <c r="D21" s="16" t="s">
        <v>485</v>
      </c>
      <c r="E21" s="16"/>
    </row>
    <row r="22" customFormat="false" ht="15" hidden="false" customHeight="true" outlineLevel="0" collapsed="false">
      <c r="A22" s="16" t="s">
        <v>486</v>
      </c>
      <c r="B22" s="16" t="n">
        <v>22</v>
      </c>
      <c r="C22" s="16"/>
      <c r="D22" s="16" t="s">
        <v>487</v>
      </c>
      <c r="E22" s="16"/>
    </row>
    <row r="23" customFormat="false" ht="15" hidden="false" customHeight="true" outlineLevel="0" collapsed="false">
      <c r="A23" s="16" t="s">
        <v>488</v>
      </c>
      <c r="B23" s="16" t="n">
        <v>0</v>
      </c>
      <c r="C23" s="16"/>
      <c r="D23" s="16" t="s">
        <v>489</v>
      </c>
      <c r="E23" s="16"/>
    </row>
    <row r="24" customFormat="false" ht="15" hidden="false" customHeight="true" outlineLevel="0" collapsed="false">
      <c r="A24" s="16" t="s">
        <v>490</v>
      </c>
      <c r="B24" s="16" t="n">
        <v>131</v>
      </c>
      <c r="C24" s="16"/>
      <c r="D24" s="16" t="s">
        <v>491</v>
      </c>
      <c r="E24" s="16"/>
    </row>
    <row r="25" customFormat="false" ht="15" hidden="false" customHeight="true" outlineLevel="0" collapsed="false">
      <c r="A25" s="16" t="s">
        <v>492</v>
      </c>
      <c r="B25" s="16" t="n">
        <v>44</v>
      </c>
      <c r="C25" s="16"/>
      <c r="D25" s="16" t="s">
        <v>493</v>
      </c>
      <c r="E25" s="16"/>
    </row>
    <row r="26" customFormat="false" ht="15" hidden="false" customHeight="true" outlineLevel="0" collapsed="false">
      <c r="A26" s="16" t="s">
        <v>494</v>
      </c>
      <c r="B26" s="16" t="n">
        <v>0</v>
      </c>
      <c r="C26" s="16"/>
      <c r="D26" s="16" t="s">
        <v>495</v>
      </c>
      <c r="E26" s="16"/>
    </row>
    <row r="28" customFormat="false" ht="15" hidden="false" customHeight="true" outlineLevel="0" collapsed="false">
      <c r="A28" s="4" t="s">
        <v>496</v>
      </c>
      <c r="B28" s="5"/>
      <c r="C28" s="5"/>
      <c r="D28" s="5"/>
      <c r="E28" s="5"/>
    </row>
    <row r="29" customFormat="false" ht="15" hidden="false" customHeight="true" outlineLevel="0" collapsed="false">
      <c r="A29" s="15" t="s">
        <v>449</v>
      </c>
      <c r="B29" s="15" t="s">
        <v>450</v>
      </c>
      <c r="C29" s="15"/>
      <c r="D29" s="15" t="s">
        <v>451</v>
      </c>
      <c r="E29" s="15" t="s">
        <v>452</v>
      </c>
    </row>
    <row r="30" customFormat="false" ht="15" hidden="false" customHeight="true" outlineLevel="0" collapsed="false">
      <c r="A30" s="16" t="s">
        <v>497</v>
      </c>
      <c r="B30" s="16" t="n">
        <v>26</v>
      </c>
      <c r="C30" s="16"/>
      <c r="D30" s="16" t="s">
        <v>498</v>
      </c>
      <c r="E30" s="16"/>
    </row>
    <row r="31" customFormat="false" ht="15" hidden="false" customHeight="true" outlineLevel="0" collapsed="false">
      <c r="A31" s="16" t="s">
        <v>499</v>
      </c>
      <c r="B31" s="16" t="n">
        <v>270</v>
      </c>
      <c r="C31" s="16"/>
      <c r="D31" s="16" t="s">
        <v>500</v>
      </c>
      <c r="E31" s="16"/>
    </row>
    <row r="32" customFormat="false" ht="15" hidden="false" customHeight="true" outlineLevel="0" collapsed="false">
      <c r="A32" s="16" t="s">
        <v>501</v>
      </c>
      <c r="B32" s="16" t="n">
        <v>0</v>
      </c>
      <c r="C32" s="16"/>
      <c r="D32" s="16" t="s">
        <v>502</v>
      </c>
      <c r="E32" s="16"/>
    </row>
    <row r="33" customFormat="false" ht="15" hidden="false" customHeight="true" outlineLevel="0" collapsed="false">
      <c r="A33" s="16" t="s">
        <v>503</v>
      </c>
      <c r="B33" s="16" t="n">
        <v>0</v>
      </c>
      <c r="C33" s="16"/>
      <c r="D33" s="16" t="s">
        <v>504</v>
      </c>
      <c r="E33" s="16"/>
    </row>
    <row r="34" customFormat="false" ht="15" hidden="false" customHeight="true" outlineLevel="0" collapsed="false">
      <c r="A34" s="16" t="s">
        <v>505</v>
      </c>
      <c r="B34" s="16" t="n">
        <f aca="false">SUM(B30:B33)</f>
        <v>296</v>
      </c>
      <c r="C34" s="16"/>
      <c r="D34" s="16" t="s">
        <v>458</v>
      </c>
      <c r="E34" s="16"/>
    </row>
    <row r="35" customFormat="false" ht="15" hidden="false" customHeight="true" outlineLevel="0" collapsed="false">
      <c r="A35" s="16" t="s">
        <v>506</v>
      </c>
      <c r="B35" s="16" t="n">
        <v>296</v>
      </c>
      <c r="C35" s="16"/>
      <c r="D35" s="16" t="s">
        <v>507</v>
      </c>
      <c r="E35" s="16" t="str">
        <f aca="false">IF(B34=B35,"OK: matches sum","Mismatch")</f>
        <v>OK: matches sum</v>
      </c>
    </row>
    <row r="36" customFormat="false" ht="15" hidden="false" customHeight="true" outlineLevel="0" collapsed="false">
      <c r="A36" s="16" t="s">
        <v>508</v>
      </c>
      <c r="B36" s="16" t="n">
        <v>0</v>
      </c>
      <c r="C36" s="16"/>
      <c r="D36" s="16" t="s">
        <v>509</v>
      </c>
      <c r="E36" s="16"/>
    </row>
    <row r="37" customFormat="false" ht="15" hidden="false" customHeight="true" outlineLevel="0" collapsed="false">
      <c r="A37" s="16" t="s">
        <v>510</v>
      </c>
      <c r="B37" s="16" t="n">
        <v>22</v>
      </c>
      <c r="C37" s="16"/>
      <c r="D37" s="16" t="s">
        <v>511</v>
      </c>
      <c r="E37" s="16"/>
    </row>
    <row r="38" customFormat="false" ht="23.25" hidden="false" customHeight="true" outlineLevel="0" collapsed="false">
      <c r="A38" s="16" t="s">
        <v>512</v>
      </c>
      <c r="B38" s="16" t="n">
        <v>1</v>
      </c>
      <c r="C38" s="16"/>
      <c r="D38" s="16" t="s">
        <v>513</v>
      </c>
      <c r="E38" s="16" t="s">
        <v>514</v>
      </c>
    </row>
    <row r="40" customFormat="false" ht="15" hidden="false" customHeight="true" outlineLevel="0" collapsed="false">
      <c r="A40" s="4" t="s">
        <v>515</v>
      </c>
      <c r="B40" s="5"/>
      <c r="C40" s="5"/>
      <c r="D40" s="5"/>
      <c r="E40" s="5"/>
    </row>
    <row r="41" customFormat="false" ht="15" hidden="false" customHeight="true" outlineLevel="0" collapsed="false">
      <c r="A41" s="15" t="s">
        <v>449</v>
      </c>
      <c r="B41" s="15" t="s">
        <v>516</v>
      </c>
      <c r="C41" s="15" t="s">
        <v>517</v>
      </c>
      <c r="D41" s="15" t="s">
        <v>451</v>
      </c>
      <c r="E41" s="15" t="s">
        <v>452</v>
      </c>
    </row>
    <row r="42" customFormat="false" ht="15" hidden="false" customHeight="true" outlineLevel="0" collapsed="false">
      <c r="A42" s="16" t="s">
        <v>497</v>
      </c>
      <c r="B42" s="16" t="n">
        <v>17</v>
      </c>
      <c r="C42" s="16" t="n">
        <v>3</v>
      </c>
      <c r="D42" s="16" t="s">
        <v>518</v>
      </c>
      <c r="E42" s="16"/>
    </row>
    <row r="43" customFormat="false" ht="15" hidden="false" customHeight="true" outlineLevel="0" collapsed="false">
      <c r="A43" s="16" t="s">
        <v>499</v>
      </c>
      <c r="B43" s="16" t="n">
        <v>3</v>
      </c>
      <c r="C43" s="16" t="n">
        <v>5</v>
      </c>
      <c r="D43" s="16" t="s">
        <v>518</v>
      </c>
      <c r="E43" s="16"/>
    </row>
    <row r="44" customFormat="false" ht="15" hidden="false" customHeight="true" outlineLevel="0" collapsed="false">
      <c r="A44" s="16" t="s">
        <v>501</v>
      </c>
      <c r="B44" s="16" t="n">
        <v>0</v>
      </c>
      <c r="C44" s="16" t="n">
        <v>0</v>
      </c>
      <c r="D44" s="16" t="s">
        <v>518</v>
      </c>
      <c r="E44" s="16"/>
    </row>
    <row r="45" customFormat="false" ht="15" hidden="false" customHeight="true" outlineLevel="0" collapsed="false">
      <c r="A45" s="16" t="s">
        <v>503</v>
      </c>
      <c r="B45" s="16" t="n">
        <v>1</v>
      </c>
      <c r="C45" s="16" t="n">
        <v>0</v>
      </c>
      <c r="D45" s="16" t="s">
        <v>518</v>
      </c>
      <c r="E45" s="16"/>
    </row>
    <row r="46" customFormat="false" ht="15" hidden="false" customHeight="true" outlineLevel="0" collapsed="false">
      <c r="A46" s="16" t="s">
        <v>519</v>
      </c>
      <c r="B46" s="16" t="n">
        <f aca="false">SUM(B42:B45)</f>
        <v>21</v>
      </c>
      <c r="C46" s="16" t="n">
        <f aca="false">SUM(C42:C45)</f>
        <v>8</v>
      </c>
      <c r="D46" s="16" t="s">
        <v>458</v>
      </c>
      <c r="E46" s="16"/>
    </row>
    <row r="47" customFormat="false" ht="15" hidden="false" customHeight="true" outlineLevel="0" collapsed="false">
      <c r="A47" s="16" t="s">
        <v>520</v>
      </c>
      <c r="B47" s="16" t="s">
        <v>317</v>
      </c>
      <c r="C47" s="16"/>
      <c r="D47" s="16" t="s">
        <v>521</v>
      </c>
      <c r="E47" s="16" t="s">
        <v>522</v>
      </c>
    </row>
    <row r="48" customFormat="false" ht="15" hidden="false" customHeight="true" outlineLevel="0" collapsed="false">
      <c r="A48" s="16" t="s">
        <v>523</v>
      </c>
      <c r="B48" s="16" t="s">
        <v>524</v>
      </c>
      <c r="C48" s="16"/>
      <c r="D48" s="16" t="s">
        <v>525</v>
      </c>
      <c r="E48" s="16"/>
    </row>
    <row r="49" customFormat="false" ht="45.75" hidden="false" customHeight="true" outlineLevel="0" collapsed="false">
      <c r="A49" s="16" t="s">
        <v>526</v>
      </c>
      <c r="B49" s="16" t="s">
        <v>527</v>
      </c>
      <c r="C49" s="16"/>
      <c r="D49" s="16" t="s">
        <v>528</v>
      </c>
      <c r="E49" s="16" t="s">
        <v>529</v>
      </c>
    </row>
    <row r="50" customFormat="false" ht="23.25" hidden="false" customHeight="true" outlineLevel="0" collapsed="false">
      <c r="A50" s="16" t="s">
        <v>530</v>
      </c>
      <c r="B50" s="16"/>
      <c r="C50" s="16"/>
      <c r="D50" s="16" t="s">
        <v>531</v>
      </c>
      <c r="E50" s="16" t="s">
        <v>532</v>
      </c>
    </row>
    <row r="51" customFormat="false" ht="45.75" hidden="false" customHeight="true" outlineLevel="0" collapsed="false">
      <c r="A51" s="16" t="s">
        <v>452</v>
      </c>
      <c r="B51" s="16"/>
      <c r="C51" s="16"/>
      <c r="D51" s="16" t="s">
        <v>533</v>
      </c>
      <c r="E51" s="16" t="s">
        <v>534</v>
      </c>
    </row>
    <row r="53" customFormat="false" ht="15" hidden="false" customHeight="true" outlineLevel="0" collapsed="false">
      <c r="A53" s="4" t="s">
        <v>535</v>
      </c>
      <c r="B53" s="5"/>
      <c r="C53" s="5"/>
      <c r="D53" s="5"/>
      <c r="E53" s="5"/>
    </row>
    <row r="54" customFormat="false" ht="15" hidden="false" customHeight="true" outlineLevel="0" collapsed="false">
      <c r="A54" s="15" t="s">
        <v>536</v>
      </c>
      <c r="B54" s="15" t="s">
        <v>537</v>
      </c>
      <c r="C54" s="15" t="s">
        <v>538</v>
      </c>
      <c r="D54" s="15" t="s">
        <v>539</v>
      </c>
      <c r="E54" s="15" t="s">
        <v>14</v>
      </c>
    </row>
    <row r="55" customFormat="false" ht="15" hidden="false" customHeight="true" outlineLevel="0" collapsed="false">
      <c r="A55" s="16" t="s">
        <v>279</v>
      </c>
      <c r="B55" s="16" t="s">
        <v>323</v>
      </c>
      <c r="C55" s="16" t="s">
        <v>540</v>
      </c>
      <c r="D55" s="16" t="s">
        <v>541</v>
      </c>
      <c r="E55" s="16" t="s">
        <v>280</v>
      </c>
    </row>
    <row r="56" customFormat="false" ht="15" hidden="false" customHeight="true" outlineLevel="0" collapsed="false">
      <c r="A56" s="16" t="s">
        <v>218</v>
      </c>
      <c r="B56" s="16" t="s">
        <v>323</v>
      </c>
      <c r="C56" s="16" t="s">
        <v>540</v>
      </c>
      <c r="D56" s="16" t="s">
        <v>541</v>
      </c>
      <c r="E56" s="16" t="s">
        <v>219</v>
      </c>
    </row>
    <row r="57" customFormat="false" ht="15" hidden="false" customHeight="true" outlineLevel="0" collapsed="false">
      <c r="A57" s="22" t="s">
        <v>542</v>
      </c>
      <c r="D57" s="25" t="s">
        <v>543</v>
      </c>
      <c r="E57" s="25"/>
    </row>
    <row r="58" customFormat="false" ht="15" hidden="false" customHeight="true" outlineLevel="0" collapsed="false">
      <c r="A58" s="22" t="s">
        <v>544</v>
      </c>
      <c r="D58" s="25" t="s">
        <v>545</v>
      </c>
      <c r="E58" s="25"/>
    </row>
    <row r="59" customFormat="false" ht="15" hidden="false" customHeight="true" outlineLevel="0" collapsed="false">
      <c r="A59" s="22" t="s">
        <v>538</v>
      </c>
      <c r="D59" s="25" t="s">
        <v>546</v>
      </c>
      <c r="E59" s="25"/>
    </row>
    <row r="60" customFormat="false" ht="23.25" hidden="false" customHeight="true" outlineLevel="0" collapsed="false">
      <c r="A60" s="22" t="s">
        <v>452</v>
      </c>
      <c r="D60" s="25" t="s">
        <v>547</v>
      </c>
      <c r="E60" s="25"/>
    </row>
    <row r="62" customFormat="false" ht="15" hidden="false" customHeight="true" outlineLevel="0" collapsed="false">
      <c r="A62" s="4" t="s">
        <v>548</v>
      </c>
      <c r="B62" s="5"/>
      <c r="C62" s="5"/>
      <c r="D62" s="5"/>
      <c r="E62" s="5"/>
    </row>
    <row r="63" customFormat="false" ht="15" hidden="false" customHeight="true" outlineLevel="0" collapsed="false">
      <c r="A63" s="15" t="s">
        <v>549</v>
      </c>
      <c r="B63" s="15"/>
      <c r="C63" s="15"/>
      <c r="D63" s="15" t="s">
        <v>550</v>
      </c>
      <c r="E63" s="15"/>
    </row>
    <row r="64" customFormat="false" ht="15" hidden="false" customHeight="true" outlineLevel="0" collapsed="false">
      <c r="A64" s="16" t="s">
        <v>72</v>
      </c>
      <c r="B64" s="16"/>
      <c r="C64" s="16"/>
      <c r="D64" s="16" t="s">
        <v>551</v>
      </c>
      <c r="E64" s="16"/>
    </row>
    <row r="65" customFormat="false" ht="15" hidden="false" customHeight="true" outlineLevel="0" collapsed="false">
      <c r="A65" s="16" t="s">
        <v>197</v>
      </c>
      <c r="B65" s="16"/>
      <c r="C65" s="16"/>
      <c r="D65" s="16" t="s">
        <v>551</v>
      </c>
      <c r="E65" s="16"/>
    </row>
    <row r="66" customFormat="false" ht="15" hidden="false" customHeight="true" outlineLevel="0" collapsed="false">
      <c r="A66" s="16" t="s">
        <v>218</v>
      </c>
      <c r="B66" s="16"/>
      <c r="C66" s="16"/>
      <c r="D66" s="16" t="s">
        <v>551</v>
      </c>
      <c r="E66" s="16"/>
    </row>
    <row r="67" customFormat="false" ht="15" hidden="false" customHeight="true" outlineLevel="0" collapsed="false">
      <c r="A67" s="16" t="s">
        <v>279</v>
      </c>
      <c r="B67" s="16"/>
      <c r="C67" s="16"/>
      <c r="D67" s="16" t="s">
        <v>551</v>
      </c>
      <c r="E67" s="16"/>
    </row>
    <row r="69" customFormat="false" ht="15" hidden="false" customHeight="true" outlineLevel="0" collapsed="false">
      <c r="A69" s="4" t="s">
        <v>552</v>
      </c>
      <c r="B69" s="5"/>
      <c r="C69" s="5"/>
      <c r="D69" s="5"/>
      <c r="E69" s="5"/>
    </row>
    <row r="70" customFormat="false" ht="15" hidden="false" customHeight="true" outlineLevel="0" collapsed="false">
      <c r="A70" s="15" t="s">
        <v>449</v>
      </c>
      <c r="B70" s="15" t="s">
        <v>553</v>
      </c>
      <c r="C70" s="15"/>
      <c r="D70" s="15" t="s">
        <v>451</v>
      </c>
      <c r="E70" s="15" t="s">
        <v>452</v>
      </c>
    </row>
    <row r="71" customFormat="false" ht="15" hidden="false" customHeight="true" outlineLevel="0" collapsed="false">
      <c r="A71" s="16" t="s">
        <v>554</v>
      </c>
      <c r="B71" s="26" t="n">
        <v>2.4114</v>
      </c>
      <c r="C71" s="16"/>
      <c r="D71" s="16" t="s">
        <v>555</v>
      </c>
      <c r="E71" s="16"/>
    </row>
    <row r="72" customFormat="false" ht="15" hidden="false" customHeight="true" outlineLevel="0" collapsed="false">
      <c r="A72" s="16" t="s">
        <v>556</v>
      </c>
      <c r="B72" s="26" t="n">
        <v>3.9689</v>
      </c>
      <c r="C72" s="16"/>
      <c r="D72" s="16" t="s">
        <v>557</v>
      </c>
      <c r="E72" s="16"/>
    </row>
    <row r="73" customFormat="false" ht="15" hidden="false" customHeight="true" outlineLevel="0" collapsed="false">
      <c r="A73" s="16" t="s">
        <v>558</v>
      </c>
      <c r="B73" s="27" t="n">
        <f aca="false">MEDIAN(B77:K77)</f>
        <v>0.004488</v>
      </c>
      <c r="C73" s="16"/>
      <c r="D73" s="16" t="s">
        <v>458</v>
      </c>
      <c r="E73" s="16" t="s">
        <v>559</v>
      </c>
    </row>
    <row r="74" customFormat="false" ht="15" hidden="false" customHeight="true" outlineLevel="0" collapsed="false">
      <c r="A74" s="16" t="s">
        <v>560</v>
      </c>
      <c r="B74" s="27" t="n">
        <f aca="false">MIN(B77:K77)</f>
        <v>0.004225</v>
      </c>
      <c r="C74" s="16"/>
      <c r="D74" s="16" t="s">
        <v>458</v>
      </c>
      <c r="E74" s="16"/>
    </row>
    <row r="75" customFormat="false" ht="15" hidden="false" customHeight="true" outlineLevel="0" collapsed="false">
      <c r="A75" s="16" t="s">
        <v>561</v>
      </c>
      <c r="B75" s="27" t="n">
        <f aca="false">MAX(B77:K77)</f>
        <v>0.004686</v>
      </c>
      <c r="C75" s="16"/>
      <c r="D75" s="16" t="s">
        <v>458</v>
      </c>
      <c r="E75" s="16"/>
    </row>
    <row r="76" customFormat="false" ht="15" hidden="false" customHeight="true" outlineLevel="0" collapsed="false">
      <c r="A76" s="22" t="s">
        <v>562</v>
      </c>
    </row>
    <row r="77" customFormat="false" ht="15" hidden="false" customHeight="true" outlineLevel="0" collapsed="false">
      <c r="A77" s="28" t="s">
        <v>563</v>
      </c>
      <c r="B77" s="29" t="n">
        <v>0.004225</v>
      </c>
      <c r="C77" s="29" t="n">
        <v>0.004686</v>
      </c>
      <c r="D77" s="29" t="n">
        <v>0.004464</v>
      </c>
      <c r="E77" s="29" t="n">
        <v>0.004563</v>
      </c>
      <c r="F77" s="29" t="n">
        <v>0.004419</v>
      </c>
      <c r="G77" s="29" t="n">
        <v>0.004506</v>
      </c>
      <c r="H77" s="29" t="n">
        <v>0.004568</v>
      </c>
      <c r="I77" s="29" t="n">
        <v>0.00447</v>
      </c>
      <c r="J77" s="29" t="n">
        <v>0.004526</v>
      </c>
      <c r="K77" s="29" t="n">
        <v>0.004366</v>
      </c>
    </row>
    <row r="78" customFormat="false" ht="27.75" hidden="false" customHeight="true" outlineLevel="0" collapsed="false">
      <c r="A78" s="30" t="s">
        <v>564</v>
      </c>
      <c r="B78" s="30"/>
      <c r="C78" s="30"/>
      <c r="D78" s="30"/>
      <c r="E78" s="30"/>
    </row>
  </sheetData>
  <mergeCells count="5">
    <mergeCell ref="D57:E57"/>
    <mergeCell ref="D58:E58"/>
    <mergeCell ref="D59:E59"/>
    <mergeCell ref="D60:E60"/>
    <mergeCell ref="A78:E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2026-10-27T14:03:27Z</dcterms:created>
  <dc:creator>openpyxl</dc:creator>
  <dc:description/>
  <dc:language>en-US</dc:language>
  <cp:lastModifiedBy/>
  <dcterms:modified xsi:type="dcterms:W3CDTF">2026-10-27T14:16:15Z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